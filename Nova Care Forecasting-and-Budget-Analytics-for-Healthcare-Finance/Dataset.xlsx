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/Documents/FA Project /Project 2/"/>
    </mc:Choice>
  </mc:AlternateContent>
  <xr:revisionPtr revIDLastSave="0" documentId="13_ncr:1_{1A1BF07C-E165-8045-8454-2BC0C3A13BB5}" xr6:coauthVersionLast="47" xr6:coauthVersionMax="47" xr10:uidLastSave="{00000000-0000-0000-0000-000000000000}"/>
  <bookViews>
    <workbookView xWindow="0" yWindow="600" windowWidth="20300" windowHeight="14420" firstSheet="4" activeTab="10" xr2:uid="{00000000-000D-0000-FFFF-FFFF00000000}"/>
  </bookViews>
  <sheets>
    <sheet name="Revenue" sheetId="1" r:id="rId1"/>
    <sheet name="Budget OPEX" sheetId="7" r:id="rId2"/>
    <sheet name="Actual OPEX" sheetId="2" r:id="rId3"/>
    <sheet name="Working Capital" sheetId="3" r:id="rId4"/>
    <sheet name="Receivables Ageing" sheetId="4" r:id="rId5"/>
    <sheet name="Loan Schedule" sheetId="5" r:id="rId6"/>
    <sheet name="CAPEX" sheetId="6" r:id="rId7"/>
    <sheet name="Assumptions" sheetId="8" r:id="rId8"/>
    <sheet name="P&amp;L Model" sheetId="9" r:id="rId9"/>
    <sheet name="Variance" sheetId="10" r:id="rId10"/>
    <sheet name="Scenario" sheetId="12" r:id="rId11"/>
    <sheet name="Cashflow Forecast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2" l="1"/>
  <c r="J16" i="12"/>
  <c r="J17" i="12"/>
  <c r="J18" i="12"/>
  <c r="J19" i="12"/>
  <c r="J20" i="12"/>
  <c r="J21" i="12"/>
  <c r="J22" i="12"/>
  <c r="J23" i="12"/>
  <c r="J24" i="12"/>
  <c r="J25" i="12"/>
  <c r="J14" i="12"/>
  <c r="I15" i="12"/>
  <c r="I16" i="12"/>
  <c r="I17" i="12"/>
  <c r="I18" i="12"/>
  <c r="I19" i="12"/>
  <c r="I20" i="12"/>
  <c r="I21" i="12"/>
  <c r="I22" i="12"/>
  <c r="I23" i="12"/>
  <c r="I24" i="12"/>
  <c r="I25" i="12"/>
  <c r="I14" i="12"/>
  <c r="G15" i="12"/>
  <c r="G16" i="12"/>
  <c r="G17" i="12"/>
  <c r="G18" i="12"/>
  <c r="G19" i="12"/>
  <c r="G20" i="12"/>
  <c r="G21" i="12"/>
  <c r="G22" i="12"/>
  <c r="G23" i="12"/>
  <c r="G24" i="12"/>
  <c r="G25" i="12"/>
  <c r="G14" i="12"/>
  <c r="D15" i="12"/>
  <c r="D16" i="12"/>
  <c r="D17" i="12"/>
  <c r="D18" i="12"/>
  <c r="D19" i="12"/>
  <c r="D20" i="12"/>
  <c r="D21" i="12"/>
  <c r="D22" i="12"/>
  <c r="D23" i="12"/>
  <c r="D24" i="12"/>
  <c r="D25" i="12"/>
  <c r="D14" i="12"/>
  <c r="B15" i="12"/>
  <c r="B16" i="12"/>
  <c r="B17" i="12"/>
  <c r="B18" i="12"/>
  <c r="B19" i="12"/>
  <c r="B20" i="12"/>
  <c r="B21" i="12"/>
  <c r="B22" i="12"/>
  <c r="B23" i="12"/>
  <c r="B24" i="12"/>
  <c r="B25" i="12"/>
  <c r="B14" i="12"/>
  <c r="H2" i="12"/>
  <c r="E15" i="12" s="1"/>
  <c r="G2" i="12"/>
  <c r="F2" i="12"/>
  <c r="C15" i="12" s="1"/>
  <c r="F15" i="12" s="1"/>
  <c r="H15" i="12" s="1"/>
  <c r="K15" i="12" s="1"/>
  <c r="L3" i="11"/>
  <c r="M3" i="11" s="1"/>
  <c r="L4" i="11" s="1"/>
  <c r="M4" i="11" s="1"/>
  <c r="L5" i="11" s="1"/>
  <c r="M5" i="11" s="1"/>
  <c r="L6" i="11" s="1"/>
  <c r="M6" i="11" s="1"/>
  <c r="L7" i="11" s="1"/>
  <c r="M7" i="11" s="1"/>
  <c r="L8" i="11" s="1"/>
  <c r="M8" i="11" s="1"/>
  <c r="L9" i="11" s="1"/>
  <c r="M9" i="11" s="1"/>
  <c r="L10" i="11" s="1"/>
  <c r="M10" i="11" s="1"/>
  <c r="L11" i="11" s="1"/>
  <c r="M11" i="11" s="1"/>
  <c r="L12" i="11" s="1"/>
  <c r="M12" i="11" s="1"/>
  <c r="L13" i="11" s="1"/>
  <c r="M13" i="11" s="1"/>
  <c r="M2" i="11"/>
  <c r="L2" i="11"/>
  <c r="K3" i="11"/>
  <c r="K4" i="11"/>
  <c r="K5" i="11"/>
  <c r="K6" i="11"/>
  <c r="K7" i="11"/>
  <c r="K8" i="11"/>
  <c r="K9" i="11"/>
  <c r="K10" i="11"/>
  <c r="K11" i="11"/>
  <c r="K12" i="11"/>
  <c r="K13" i="11"/>
  <c r="K2" i="11"/>
  <c r="J3" i="11"/>
  <c r="J4" i="11"/>
  <c r="J5" i="11"/>
  <c r="J6" i="11"/>
  <c r="J7" i="11"/>
  <c r="J8" i="11"/>
  <c r="J9" i="11"/>
  <c r="J10" i="11"/>
  <c r="J11" i="11"/>
  <c r="J12" i="11"/>
  <c r="J13" i="11"/>
  <c r="J2" i="11"/>
  <c r="I3" i="11"/>
  <c r="I4" i="11"/>
  <c r="I5" i="11"/>
  <c r="I6" i="11"/>
  <c r="I7" i="11"/>
  <c r="I8" i="11"/>
  <c r="I9" i="11"/>
  <c r="I10" i="11"/>
  <c r="I11" i="11"/>
  <c r="I12" i="11"/>
  <c r="I13" i="11"/>
  <c r="I2" i="11"/>
  <c r="H3" i="11"/>
  <c r="H4" i="11"/>
  <c r="H5" i="11"/>
  <c r="H6" i="11"/>
  <c r="H7" i="11"/>
  <c r="H8" i="11"/>
  <c r="H9" i="11"/>
  <c r="H10" i="11"/>
  <c r="H11" i="11"/>
  <c r="H12" i="11"/>
  <c r="H13" i="11"/>
  <c r="H2" i="11"/>
  <c r="G3" i="11"/>
  <c r="G4" i="11"/>
  <c r="G5" i="11"/>
  <c r="G6" i="11"/>
  <c r="G7" i="11"/>
  <c r="G8" i="11"/>
  <c r="G9" i="11"/>
  <c r="G10" i="11"/>
  <c r="G11" i="11"/>
  <c r="G12" i="11"/>
  <c r="G13" i="11"/>
  <c r="G2" i="11"/>
  <c r="F4" i="11"/>
  <c r="F5" i="11"/>
  <c r="F6" i="11"/>
  <c r="F7" i="11"/>
  <c r="F8" i="11"/>
  <c r="F9" i="11"/>
  <c r="F10" i="11"/>
  <c r="F11" i="11"/>
  <c r="F12" i="11"/>
  <c r="F13" i="11"/>
  <c r="F3" i="11"/>
  <c r="E4" i="11"/>
  <c r="E5" i="11"/>
  <c r="E6" i="11"/>
  <c r="E7" i="11"/>
  <c r="E8" i="11"/>
  <c r="E9" i="11"/>
  <c r="E10" i="11"/>
  <c r="E11" i="11"/>
  <c r="E12" i="11"/>
  <c r="E13" i="11"/>
  <c r="E3" i="11"/>
  <c r="D4" i="11"/>
  <c r="D5" i="11"/>
  <c r="D6" i="11"/>
  <c r="D7" i="11"/>
  <c r="D8" i="11"/>
  <c r="D9" i="11"/>
  <c r="D10" i="11"/>
  <c r="D11" i="11"/>
  <c r="D12" i="11"/>
  <c r="D13" i="11"/>
  <c r="D3" i="11"/>
  <c r="C3" i="11"/>
  <c r="C4" i="11"/>
  <c r="C5" i="11"/>
  <c r="C6" i="11"/>
  <c r="C7" i="11"/>
  <c r="C8" i="11"/>
  <c r="C9" i="11"/>
  <c r="C10" i="11"/>
  <c r="C11" i="11"/>
  <c r="C12" i="11"/>
  <c r="C13" i="11"/>
  <c r="C2" i="11"/>
  <c r="B3" i="11"/>
  <c r="B4" i="11"/>
  <c r="B5" i="11"/>
  <c r="B6" i="11"/>
  <c r="B7" i="11"/>
  <c r="B8" i="11"/>
  <c r="B9" i="11"/>
  <c r="B10" i="11"/>
  <c r="B11" i="11"/>
  <c r="B12" i="11"/>
  <c r="B13" i="11"/>
  <c r="B2" i="11"/>
  <c r="C14" i="12" l="1"/>
  <c r="E22" i="12"/>
  <c r="E18" i="12"/>
  <c r="E21" i="12"/>
  <c r="E16" i="12"/>
  <c r="E14" i="12"/>
  <c r="F14" i="12" s="1"/>
  <c r="H14" i="12" s="1"/>
  <c r="K14" i="12" s="1"/>
  <c r="E25" i="12"/>
  <c r="E17" i="12"/>
  <c r="C22" i="12"/>
  <c r="E24" i="12"/>
  <c r="E20" i="12"/>
  <c r="C18" i="12"/>
  <c r="F18" i="12" s="1"/>
  <c r="H18" i="12" s="1"/>
  <c r="K18" i="12" s="1"/>
  <c r="E23" i="12"/>
  <c r="E19" i="12"/>
  <c r="C25" i="12"/>
  <c r="F25" i="12" s="1"/>
  <c r="H25" i="12" s="1"/>
  <c r="K25" i="12" s="1"/>
  <c r="C21" i="12"/>
  <c r="F21" i="12" s="1"/>
  <c r="H21" i="12" s="1"/>
  <c r="K21" i="12" s="1"/>
  <c r="C17" i="12"/>
  <c r="C24" i="12"/>
  <c r="F24" i="12" s="1"/>
  <c r="H24" i="12" s="1"/>
  <c r="K24" i="12" s="1"/>
  <c r="C20" i="12"/>
  <c r="F20" i="12" s="1"/>
  <c r="H20" i="12" s="1"/>
  <c r="K20" i="12" s="1"/>
  <c r="C16" i="12"/>
  <c r="C23" i="12"/>
  <c r="F23" i="12" s="1"/>
  <c r="H23" i="12" s="1"/>
  <c r="K23" i="12" s="1"/>
  <c r="C19" i="12"/>
  <c r="F19" i="12" s="1"/>
  <c r="H19" i="12" s="1"/>
  <c r="K19" i="12" s="1"/>
  <c r="G3" i="10"/>
  <c r="G4" i="10"/>
  <c r="G5" i="10"/>
  <c r="G6" i="10"/>
  <c r="G7" i="10"/>
  <c r="G8" i="10"/>
  <c r="G9" i="10"/>
  <c r="G10" i="10"/>
  <c r="G11" i="10"/>
  <c r="G12" i="10"/>
  <c r="G13" i="10"/>
  <c r="G2" i="10"/>
  <c r="F3" i="10"/>
  <c r="F4" i="10"/>
  <c r="F5" i="10"/>
  <c r="F6" i="10"/>
  <c r="F7" i="10"/>
  <c r="F8" i="10"/>
  <c r="F9" i="10"/>
  <c r="F10" i="10"/>
  <c r="F11" i="10"/>
  <c r="F12" i="10"/>
  <c r="F13" i="10"/>
  <c r="F2" i="10"/>
  <c r="E3" i="10"/>
  <c r="E4" i="10"/>
  <c r="E5" i="10"/>
  <c r="E6" i="10"/>
  <c r="E7" i="10"/>
  <c r="E8" i="10"/>
  <c r="E9" i="10"/>
  <c r="E10" i="10"/>
  <c r="E11" i="10"/>
  <c r="E12" i="10"/>
  <c r="E13" i="10"/>
  <c r="E2" i="10"/>
  <c r="D2" i="10"/>
  <c r="D3" i="10"/>
  <c r="D4" i="10"/>
  <c r="D5" i="10"/>
  <c r="D6" i="10"/>
  <c r="D7" i="10"/>
  <c r="D8" i="10"/>
  <c r="D9" i="10"/>
  <c r="D10" i="10"/>
  <c r="D11" i="10"/>
  <c r="D12" i="10"/>
  <c r="D13" i="10"/>
  <c r="C3" i="10"/>
  <c r="C4" i="10"/>
  <c r="C5" i="10"/>
  <c r="C6" i="10"/>
  <c r="C7" i="10"/>
  <c r="C8" i="10"/>
  <c r="C9" i="10"/>
  <c r="C10" i="10"/>
  <c r="C11" i="10"/>
  <c r="C12" i="10"/>
  <c r="C13" i="10"/>
  <c r="C2" i="10"/>
  <c r="B3" i="10"/>
  <c r="B4" i="10"/>
  <c r="B5" i="10"/>
  <c r="B6" i="10"/>
  <c r="B7" i="10"/>
  <c r="B8" i="10"/>
  <c r="B9" i="10"/>
  <c r="B10" i="10"/>
  <c r="B11" i="10"/>
  <c r="B12" i="10"/>
  <c r="B13" i="10"/>
  <c r="B2" i="10"/>
  <c r="K3" i="9"/>
  <c r="K4" i="9"/>
  <c r="K5" i="9"/>
  <c r="K6" i="9"/>
  <c r="K7" i="9"/>
  <c r="K8" i="9"/>
  <c r="K9" i="9"/>
  <c r="K10" i="9"/>
  <c r="K11" i="9"/>
  <c r="K12" i="9"/>
  <c r="K13" i="9"/>
  <c r="K2" i="9"/>
  <c r="J3" i="9"/>
  <c r="J4" i="9"/>
  <c r="J5" i="9"/>
  <c r="J6" i="9"/>
  <c r="J7" i="9"/>
  <c r="J8" i="9"/>
  <c r="J9" i="9"/>
  <c r="J10" i="9"/>
  <c r="J11" i="9"/>
  <c r="J12" i="9"/>
  <c r="J13" i="9"/>
  <c r="J2" i="9"/>
  <c r="I3" i="9"/>
  <c r="I4" i="9"/>
  <c r="I5" i="9"/>
  <c r="I6" i="9"/>
  <c r="I7" i="9"/>
  <c r="I8" i="9"/>
  <c r="I9" i="9"/>
  <c r="I10" i="9"/>
  <c r="I11" i="9"/>
  <c r="I12" i="9"/>
  <c r="I13" i="9"/>
  <c r="I2" i="9"/>
  <c r="H3" i="9"/>
  <c r="H4" i="9"/>
  <c r="H5" i="9"/>
  <c r="H6" i="9"/>
  <c r="H7" i="9"/>
  <c r="H8" i="9"/>
  <c r="H9" i="9"/>
  <c r="H10" i="9"/>
  <c r="H11" i="9"/>
  <c r="H12" i="9"/>
  <c r="H13" i="9"/>
  <c r="H2" i="9"/>
  <c r="G3" i="9"/>
  <c r="G4" i="9"/>
  <c r="G5" i="9"/>
  <c r="G6" i="9"/>
  <c r="G7" i="9"/>
  <c r="G8" i="9"/>
  <c r="G9" i="9"/>
  <c r="G10" i="9"/>
  <c r="G11" i="9"/>
  <c r="G12" i="9"/>
  <c r="G13" i="9"/>
  <c r="G2" i="9"/>
  <c r="F3" i="9"/>
  <c r="F4" i="9"/>
  <c r="F5" i="9"/>
  <c r="F6" i="9"/>
  <c r="F7" i="9"/>
  <c r="F8" i="9"/>
  <c r="F9" i="9"/>
  <c r="F10" i="9"/>
  <c r="F11" i="9"/>
  <c r="F12" i="9"/>
  <c r="F13" i="9"/>
  <c r="F2" i="9"/>
  <c r="E3" i="9"/>
  <c r="E4" i="9"/>
  <c r="E5" i="9"/>
  <c r="E6" i="9"/>
  <c r="E7" i="9"/>
  <c r="E8" i="9"/>
  <c r="E9" i="9"/>
  <c r="E10" i="9"/>
  <c r="E11" i="9"/>
  <c r="E12" i="9"/>
  <c r="E13" i="9"/>
  <c r="E2" i="9"/>
  <c r="D3" i="9"/>
  <c r="D4" i="9"/>
  <c r="D5" i="9"/>
  <c r="D6" i="9"/>
  <c r="D7" i="9"/>
  <c r="D8" i="9"/>
  <c r="D9" i="9"/>
  <c r="D10" i="9"/>
  <c r="D11" i="9"/>
  <c r="D12" i="9"/>
  <c r="D13" i="9"/>
  <c r="D2" i="9"/>
  <c r="B2" i="9"/>
  <c r="C3" i="9"/>
  <c r="C4" i="9"/>
  <c r="C5" i="9"/>
  <c r="C6" i="9"/>
  <c r="C7" i="9"/>
  <c r="C8" i="9"/>
  <c r="C9" i="9"/>
  <c r="C10" i="9"/>
  <c r="C11" i="9"/>
  <c r="C12" i="9"/>
  <c r="C13" i="9"/>
  <c r="C2" i="9"/>
  <c r="B3" i="9"/>
  <c r="B4" i="9"/>
  <c r="B5" i="9"/>
  <c r="B6" i="9"/>
  <c r="B7" i="9"/>
  <c r="B8" i="9"/>
  <c r="B9" i="9"/>
  <c r="B10" i="9"/>
  <c r="B11" i="9"/>
  <c r="B12" i="9"/>
  <c r="B13" i="9"/>
  <c r="H3" i="7"/>
  <c r="H4" i="7"/>
  <c r="H5" i="7"/>
  <c r="H6" i="7"/>
  <c r="H7" i="7"/>
  <c r="H8" i="7"/>
  <c r="H9" i="7"/>
  <c r="H10" i="7"/>
  <c r="H11" i="7"/>
  <c r="H12" i="7"/>
  <c r="H13" i="7"/>
  <c r="H2" i="7"/>
  <c r="F3" i="1"/>
  <c r="F4" i="1"/>
  <c r="F5" i="1"/>
  <c r="F6" i="1"/>
  <c r="F7" i="1"/>
  <c r="F8" i="1"/>
  <c r="F9" i="1"/>
  <c r="F10" i="1"/>
  <c r="F11" i="1"/>
  <c r="F12" i="1"/>
  <c r="F13" i="1"/>
  <c r="F2" i="1"/>
  <c r="E3" i="1"/>
  <c r="E4" i="1"/>
  <c r="E5" i="1"/>
  <c r="E6" i="1"/>
  <c r="E7" i="1"/>
  <c r="E8" i="1"/>
  <c r="E9" i="1"/>
  <c r="E10" i="1"/>
  <c r="E11" i="1"/>
  <c r="E12" i="1"/>
  <c r="E13" i="1"/>
  <c r="E2" i="1"/>
  <c r="F17" i="12" l="1"/>
  <c r="H17" i="12" s="1"/>
  <c r="K17" i="12" s="1"/>
  <c r="F22" i="12"/>
  <c r="H22" i="12" s="1"/>
  <c r="K22" i="12" s="1"/>
  <c r="F16" i="12"/>
  <c r="H16" i="12" s="1"/>
  <c r="K16" i="12" s="1"/>
</calcChain>
</file>

<file path=xl/sharedStrings.xml><?xml version="1.0" encoding="utf-8"?>
<sst xmlns="http://schemas.openxmlformats.org/spreadsheetml/2006/main" count="229" uniqueCount="94">
  <si>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</si>
  <si>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</si>
  <si>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</si>
  <si>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</si>
  <si>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</si>
  <si>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</si>
  <si>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</si>
  <si>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</si>
  <si>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</si>
  <si>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</si>
  <si>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</si>
  <si>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</si>
  <si>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</si>
  <si>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Salaries</t>
  </si>
  <si>
    <t>Rent</t>
  </si>
  <si>
    <t>Utilities</t>
  </si>
  <si>
    <t>Marketing</t>
  </si>
  <si>
    <t>Receivables</t>
  </si>
  <si>
    <t>Payables</t>
  </si>
  <si>
    <t>Inventory</t>
  </si>
  <si>
    <t>&lt;30</t>
  </si>
  <si>
    <t>31-60</t>
  </si>
  <si>
    <t>61-90</t>
  </si>
  <si>
    <t>&gt;90</t>
  </si>
  <si>
    <t>Opening</t>
  </si>
  <si>
    <t>Interest</t>
  </si>
  <si>
    <t>Principal</t>
  </si>
  <si>
    <t>Closing</t>
  </si>
  <si>
    <t>CAPEX</t>
  </si>
  <si>
    <t>Budget Volume</t>
  </si>
  <si>
    <t>Actual Volume</t>
  </si>
  <si>
    <t>Avg Price</t>
  </si>
  <si>
    <t>Medical Supplies</t>
  </si>
  <si>
    <t>Other OPEX</t>
  </si>
  <si>
    <t>Total OPEX</t>
  </si>
  <si>
    <t>Medical Supplies Budget</t>
  </si>
  <si>
    <t>Salaries Budget</t>
  </si>
  <si>
    <t>Rent Budget</t>
  </si>
  <si>
    <t>Utilities Budget</t>
  </si>
  <si>
    <t>Marketing Budget</t>
  </si>
  <si>
    <t>Other OPEX Budget</t>
  </si>
  <si>
    <t>Total Receivables</t>
  </si>
  <si>
    <t>Opening Cash Balance</t>
  </si>
  <si>
    <t>Depreciation per month</t>
  </si>
  <si>
    <t>Scenario drivers</t>
  </si>
  <si>
    <t>Volume</t>
  </si>
  <si>
    <t>Price</t>
  </si>
  <si>
    <t>Opex</t>
  </si>
  <si>
    <t>Best</t>
  </si>
  <si>
    <t>Base</t>
  </si>
  <si>
    <t>Worst</t>
  </si>
  <si>
    <t>Note</t>
  </si>
  <si>
    <t xml:space="preserve">Forecasting in this project is delivered through the budgeting model, the 12-month cashflow forecast, and scenario-based forecasting. </t>
  </si>
  <si>
    <t>The budget represents the base-case forecast, the cashflow model projects future liquidity, and the scenario model evaluates alternative future outcomes under different assumptions</t>
  </si>
  <si>
    <t>Budget Revenue</t>
  </si>
  <si>
    <t>Actual Revenue</t>
  </si>
  <si>
    <t>Total Opex Budget</t>
  </si>
  <si>
    <t>Forecast Revenue</t>
  </si>
  <si>
    <t>Forecast Opex</t>
  </si>
  <si>
    <t>Actual Opex</t>
  </si>
  <si>
    <t>Forecast Profit</t>
  </si>
  <si>
    <t>Actual Profit</t>
  </si>
  <si>
    <t>Forecast Margin</t>
  </si>
  <si>
    <t>Actual Margin</t>
  </si>
  <si>
    <t>Forecast Net Profit</t>
  </si>
  <si>
    <t>Revenue Variance</t>
  </si>
  <si>
    <t>Revenue Variance%</t>
  </si>
  <si>
    <t>Opex Variance</t>
  </si>
  <si>
    <t>Opex Variance %</t>
  </si>
  <si>
    <t>Profit Variance</t>
  </si>
  <si>
    <t>Favourable/Unfavourable</t>
  </si>
  <si>
    <t>Depreciation</t>
  </si>
  <si>
    <t xml:space="preserve"> Δreceivable</t>
  </si>
  <si>
    <t xml:space="preserve"> Δpayable</t>
  </si>
  <si>
    <t xml:space="preserve"> Δinventory</t>
  </si>
  <si>
    <t>WC net</t>
  </si>
  <si>
    <t>Foercast Operating Cashflow</t>
  </si>
  <si>
    <t>Forecast CAPEX</t>
  </si>
  <si>
    <t>Loan Principal</t>
  </si>
  <si>
    <t xml:space="preserve">Net cash move </t>
  </si>
  <si>
    <t>Opening cash</t>
  </si>
  <si>
    <t>Closing cash</t>
  </si>
  <si>
    <t>Scenario</t>
  </si>
  <si>
    <t>Selected Volume</t>
  </si>
  <si>
    <t>Selected Price</t>
  </si>
  <si>
    <t>Selected Opex</t>
  </si>
  <si>
    <t>Scenario Forecast Comparison (12-month Outlook)</t>
  </si>
  <si>
    <t>Base Revenue</t>
  </si>
  <si>
    <t>Scenario Revenue</t>
  </si>
  <si>
    <t>Base Opex</t>
  </si>
  <si>
    <t>Scenario OPEX</t>
  </si>
  <si>
    <t>Scenario Profit</t>
  </si>
  <si>
    <t>Net Profit</t>
  </si>
  <si>
    <t>Scenario Operating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</si>
</sst>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£-809]* #,##0_-;\-[$£-809]* #,##0_-;_-[$£-809]* &quot;-&quot;??_-;_-@_-"/>
    <numFmt numFmtId="165" formatCode="_-[$£-809]* #,##0.00_-;\-[$£-809]* #,##0.00_-;_-[$£-809]* &quot;-&quot;??_-;_-@_-"/>
    <numFmt numFmtId="166" formatCode="0.0%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5" fillId="0" borderId="0" xfId="0" applyFont="1"/>
    <xf numFmtId="0" fontId="3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1" applyNumberFormat="1" applyFont="1"/>
    <xf numFmtId="165" fontId="5" fillId="0" borderId="0" xfId="0" applyNumberFormat="1" applyFont="1"/>
    <xf numFmtId="0" fontId="2" fillId="0" borderId="0" xfId="0" applyFont="1"/>
    <xf numFmtId="9" fontId="2" fillId="0" borderId="0" xfId="0" applyNumberFormat="1" applyFont="1"/>
    <xf numFmtId="0" fontId="1" fillId="0" borderId="0" xfId="0" applyFont="1"/>
    <xf numFmtId="165" fontId="2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F2" sqref="F2:F13"/>
    </sheetView>
  </sheetViews>
  <sheetFormatPr baseColWidth="10" defaultColWidth="8.83203125" defaultRowHeight="15" x14ac:dyDescent="0.2"/>
  <cols>
    <col min="1" max="1" width="6.33203125" bestFit="1" customWidth="1"/>
    <col min="2" max="2" width="13.83203125" bestFit="1" customWidth="1"/>
    <col min="3" max="3" width="13.1640625" bestFit="1" customWidth="1"/>
    <col min="4" max="4" width="8.6640625" bestFit="1" customWidth="1"/>
    <col min="5" max="7" width="18.83203125" customWidth="1"/>
  </cols>
  <sheetData>
    <row r="1" spans="1:6" x14ac:dyDescent="0.2">
      <c r="A1" s="1" t="s">
        <v>0</v>
      </c>
      <c r="B1" s="1" t="s">
        <v>29</v>
      </c>
      <c r="C1" s="1" t="s">
        <v>30</v>
      </c>
      <c r="D1" s="1" t="s">
        <v>31</v>
      </c>
      <c r="E1" s="6" t="s">
        <v>54</v>
      </c>
      <c r="F1" s="6" t="s">
        <v>55</v>
      </c>
    </row>
    <row r="2" spans="1:6" x14ac:dyDescent="0.2">
      <c r="A2" t="s">
        <v>1</v>
      </c>
      <c r="B2">
        <v>1200</v>
      </c>
      <c r="C2">
        <v>1150</v>
      </c>
      <c r="D2" s="3">
        <v>95</v>
      </c>
      <c r="E2" s="3">
        <f>B2*D2</f>
        <v>114000</v>
      </c>
      <c r="F2" s="3">
        <f>C2*D2</f>
        <v>109250</v>
      </c>
    </row>
    <row r="3" spans="1:6" x14ac:dyDescent="0.2">
      <c r="A3" t="s">
        <v>2</v>
      </c>
      <c r="B3">
        <v>1250</v>
      </c>
      <c r="C3">
        <v>1120</v>
      </c>
      <c r="D3" s="3">
        <v>95</v>
      </c>
      <c r="E3" s="3">
        <f t="shared" ref="E3:E13" si="0">B3*D3</f>
        <v>118750</v>
      </c>
      <c r="F3" s="3">
        <f t="shared" ref="F3:F13" si="1">C3*D3</f>
        <v>106400</v>
      </c>
    </row>
    <row r="4" spans="1:6" x14ac:dyDescent="0.2">
      <c r="A4" t="s">
        <v>3</v>
      </c>
      <c r="B4">
        <v>1300</v>
      </c>
      <c r="C4">
        <v>1280</v>
      </c>
      <c r="D4" s="3">
        <v>95</v>
      </c>
      <c r="E4" s="3">
        <f t="shared" si="0"/>
        <v>123500</v>
      </c>
      <c r="F4" s="3">
        <f t="shared" si="1"/>
        <v>121600</v>
      </c>
    </row>
    <row r="5" spans="1:6" x14ac:dyDescent="0.2">
      <c r="A5" t="s">
        <v>4</v>
      </c>
      <c r="B5">
        <v>1100</v>
      </c>
      <c r="C5">
        <v>1000</v>
      </c>
      <c r="D5" s="3">
        <v>96</v>
      </c>
      <c r="E5" s="3">
        <f t="shared" si="0"/>
        <v>105600</v>
      </c>
      <c r="F5" s="3">
        <f t="shared" si="1"/>
        <v>96000</v>
      </c>
    </row>
    <row r="6" spans="1:6" x14ac:dyDescent="0.2">
      <c r="A6" t="s">
        <v>5</v>
      </c>
      <c r="B6">
        <v>1400</v>
      </c>
      <c r="C6">
        <v>1350</v>
      </c>
      <c r="D6" s="3">
        <v>96</v>
      </c>
      <c r="E6" s="3">
        <f t="shared" si="0"/>
        <v>134400</v>
      </c>
      <c r="F6" s="3">
        <f t="shared" si="1"/>
        <v>129600</v>
      </c>
    </row>
    <row r="7" spans="1:6" x14ac:dyDescent="0.2">
      <c r="A7" t="s">
        <v>6</v>
      </c>
      <c r="B7">
        <v>1550</v>
      </c>
      <c r="C7">
        <v>1580</v>
      </c>
      <c r="D7" s="3">
        <v>96</v>
      </c>
      <c r="E7" s="3">
        <f t="shared" si="0"/>
        <v>148800</v>
      </c>
      <c r="F7" s="3">
        <f t="shared" si="1"/>
        <v>151680</v>
      </c>
    </row>
    <row r="8" spans="1:6" x14ac:dyDescent="0.2">
      <c r="A8" t="s">
        <v>7</v>
      </c>
      <c r="B8">
        <v>1650</v>
      </c>
      <c r="C8">
        <v>1600</v>
      </c>
      <c r="D8" s="3">
        <v>97</v>
      </c>
      <c r="E8" s="3">
        <f t="shared" si="0"/>
        <v>160050</v>
      </c>
      <c r="F8" s="3">
        <f t="shared" si="1"/>
        <v>155200</v>
      </c>
    </row>
    <row r="9" spans="1:6" x14ac:dyDescent="0.2">
      <c r="A9" t="s">
        <v>8</v>
      </c>
      <c r="B9">
        <v>1700</v>
      </c>
      <c r="C9">
        <v>1750</v>
      </c>
      <c r="D9" s="3">
        <v>97</v>
      </c>
      <c r="E9" s="3">
        <f t="shared" si="0"/>
        <v>164900</v>
      </c>
      <c r="F9" s="3">
        <f t="shared" si="1"/>
        <v>169750</v>
      </c>
    </row>
    <row r="10" spans="1:6" x14ac:dyDescent="0.2">
      <c r="A10" t="s">
        <v>9</v>
      </c>
      <c r="B10">
        <v>1600</v>
      </c>
      <c r="C10">
        <v>1500</v>
      </c>
      <c r="D10" s="3">
        <v>98</v>
      </c>
      <c r="E10" s="3">
        <f t="shared" si="0"/>
        <v>156800</v>
      </c>
      <c r="F10" s="3">
        <f t="shared" si="1"/>
        <v>147000</v>
      </c>
    </row>
    <row r="11" spans="1:6" x14ac:dyDescent="0.2">
      <c r="A11" t="s">
        <v>10</v>
      </c>
      <c r="B11">
        <v>1650</v>
      </c>
      <c r="C11">
        <v>1620</v>
      </c>
      <c r="D11" s="3">
        <v>98</v>
      </c>
      <c r="E11" s="3">
        <f t="shared" si="0"/>
        <v>161700</v>
      </c>
      <c r="F11" s="3">
        <f t="shared" si="1"/>
        <v>158760</v>
      </c>
    </row>
    <row r="12" spans="1:6" x14ac:dyDescent="0.2">
      <c r="A12" t="s">
        <v>11</v>
      </c>
      <c r="B12">
        <v>1800</v>
      </c>
      <c r="C12">
        <v>1700</v>
      </c>
      <c r="D12" s="3">
        <v>99</v>
      </c>
      <c r="E12" s="3">
        <f t="shared" si="0"/>
        <v>178200</v>
      </c>
      <c r="F12" s="3">
        <f t="shared" si="1"/>
        <v>168300</v>
      </c>
    </row>
    <row r="13" spans="1:6" x14ac:dyDescent="0.2">
      <c r="A13" t="s">
        <v>12</v>
      </c>
      <c r="B13">
        <v>2000</v>
      </c>
      <c r="C13">
        <v>1850</v>
      </c>
      <c r="D13" s="3">
        <v>100</v>
      </c>
      <c r="E13" s="3">
        <f t="shared" si="0"/>
        <v>200000</v>
      </c>
      <c r="F13" s="3">
        <f t="shared" si="1"/>
        <v>185000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>
      <selection activeCell="A2" sqref="A2:A13"/>
    </sheetView>
  </sheetViews>
  <sheetFormatPr baseColWidth="10" defaultColWidth="8.83203125" defaultRowHeight="15" x14ac:dyDescent="0.2"/>
  <cols>
    <col min="1" max="1" width="6.33203125" bestFit="1" customWidth="1"/>
    <col min="2" max="2" width="21.83203125" bestFit="1" customWidth="1"/>
    <col min="3" max="3" width="13.6640625" bestFit="1" customWidth="1"/>
    <col min="4" max="4" width="11.33203125" bestFit="1" customWidth="1"/>
    <col min="5" max="5" width="13.83203125" bestFit="1" customWidth="1"/>
    <col min="6" max="6" width="15.83203125" bestFit="1" customWidth="1"/>
    <col min="7" max="7" width="17.6640625" bestFit="1" customWidth="1"/>
    <col min="8" max="8" width="20.6640625" customWidth="1"/>
  </cols>
  <sheetData>
    <row r="1" spans="1:8" x14ac:dyDescent="0.2">
      <c r="A1" s="2" t="s">
        <v>0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7" t="s">
        <v>56</v>
      </c>
    </row>
    <row r="2" spans="1:8" x14ac:dyDescent="0.2">
      <c r="A2" t="s">
        <v>1</v>
      </c>
      <c r="B2" s="3">
        <v>18000</v>
      </c>
      <c r="C2" s="3">
        <v>42000</v>
      </c>
      <c r="D2" s="3">
        <v>15000</v>
      </c>
      <c r="E2" s="3">
        <v>3500</v>
      </c>
      <c r="F2" s="3">
        <v>5000</v>
      </c>
      <c r="G2" s="3">
        <v>2500</v>
      </c>
      <c r="H2" s="3">
        <f>SUM(B2:G2)</f>
        <v>86000</v>
      </c>
    </row>
    <row r="3" spans="1:8" x14ac:dyDescent="0.2">
      <c r="A3" t="s">
        <v>2</v>
      </c>
      <c r="B3" s="3">
        <v>18250</v>
      </c>
      <c r="C3" s="3">
        <v>42000</v>
      </c>
      <c r="D3" s="3">
        <v>15000</v>
      </c>
      <c r="E3" s="3">
        <v>3550</v>
      </c>
      <c r="F3" s="3">
        <v>5000</v>
      </c>
      <c r="G3" s="3">
        <v>2550</v>
      </c>
      <c r="H3" s="3">
        <f t="shared" ref="H3:H13" si="0">SUM(B3:G3)</f>
        <v>86350</v>
      </c>
    </row>
    <row r="4" spans="1:8" x14ac:dyDescent="0.2">
      <c r="A4" t="s">
        <v>3</v>
      </c>
      <c r="B4" s="3">
        <v>18500</v>
      </c>
      <c r="C4" s="3">
        <v>42500</v>
      </c>
      <c r="D4" s="3">
        <v>15000</v>
      </c>
      <c r="E4" s="3">
        <v>3600</v>
      </c>
      <c r="F4" s="3">
        <v>5000</v>
      </c>
      <c r="G4" s="3">
        <v>2600</v>
      </c>
      <c r="H4" s="3">
        <f t="shared" si="0"/>
        <v>87200</v>
      </c>
    </row>
    <row r="5" spans="1:8" x14ac:dyDescent="0.2">
      <c r="A5" t="s">
        <v>4</v>
      </c>
      <c r="B5" s="3">
        <v>18750</v>
      </c>
      <c r="C5" s="3">
        <v>42500</v>
      </c>
      <c r="D5" s="3">
        <v>15000</v>
      </c>
      <c r="E5" s="3">
        <v>3650</v>
      </c>
      <c r="F5" s="3">
        <v>5050</v>
      </c>
      <c r="G5" s="3">
        <v>2650</v>
      </c>
      <c r="H5" s="3">
        <f t="shared" si="0"/>
        <v>87600</v>
      </c>
    </row>
    <row r="6" spans="1:8" x14ac:dyDescent="0.2">
      <c r="A6" t="s">
        <v>5</v>
      </c>
      <c r="B6" s="3">
        <v>19000</v>
      </c>
      <c r="C6" s="3">
        <v>43000</v>
      </c>
      <c r="D6" s="3">
        <v>15000</v>
      </c>
      <c r="E6" s="3">
        <v>3700</v>
      </c>
      <c r="F6" s="3">
        <v>5100</v>
      </c>
      <c r="G6" s="3">
        <v>2700</v>
      </c>
      <c r="H6" s="3">
        <f t="shared" si="0"/>
        <v>88500</v>
      </c>
    </row>
    <row r="7" spans="1:8" x14ac:dyDescent="0.2">
      <c r="A7" t="s">
        <v>6</v>
      </c>
      <c r="B7" s="3">
        <v>19250</v>
      </c>
      <c r="C7" s="3">
        <v>43500</v>
      </c>
      <c r="D7" s="3">
        <v>15000</v>
      </c>
      <c r="E7" s="3">
        <v>3750</v>
      </c>
      <c r="F7" s="3">
        <v>5150</v>
      </c>
      <c r="G7" s="3">
        <v>2750</v>
      </c>
      <c r="H7" s="3">
        <f t="shared" si="0"/>
        <v>89400</v>
      </c>
    </row>
    <row r="8" spans="1:8" x14ac:dyDescent="0.2">
      <c r="A8" t="s">
        <v>7</v>
      </c>
      <c r="B8" s="3">
        <v>19500</v>
      </c>
      <c r="C8" s="3">
        <v>44000</v>
      </c>
      <c r="D8" s="3">
        <v>15000</v>
      </c>
      <c r="E8" s="3">
        <v>3800</v>
      </c>
      <c r="F8" s="3">
        <v>5200</v>
      </c>
      <c r="G8" s="3">
        <v>2800</v>
      </c>
      <c r="H8" s="3">
        <f t="shared" si="0"/>
        <v>90300</v>
      </c>
    </row>
    <row r="9" spans="1:8" x14ac:dyDescent="0.2">
      <c r="A9" t="s">
        <v>8</v>
      </c>
      <c r="B9" s="3">
        <v>19750</v>
      </c>
      <c r="C9" s="3">
        <v>44500</v>
      </c>
      <c r="D9" s="3">
        <v>15000</v>
      </c>
      <c r="E9" s="3">
        <v>3850</v>
      </c>
      <c r="F9" s="3">
        <v>5250</v>
      </c>
      <c r="G9" s="3">
        <v>2850</v>
      </c>
      <c r="H9" s="3">
        <f t="shared" si="0"/>
        <v>91200</v>
      </c>
    </row>
    <row r="10" spans="1:8" x14ac:dyDescent="0.2">
      <c r="A10" t="s">
        <v>9</v>
      </c>
      <c r="B10" s="3">
        <v>20000</v>
      </c>
      <c r="C10" s="3">
        <v>45000</v>
      </c>
      <c r="D10" s="3">
        <v>15000</v>
      </c>
      <c r="E10" s="3">
        <v>3900</v>
      </c>
      <c r="F10" s="3">
        <v>5300</v>
      </c>
      <c r="G10" s="3">
        <v>2900</v>
      </c>
      <c r="H10" s="3">
        <f t="shared" si="0"/>
        <v>92100</v>
      </c>
    </row>
    <row r="11" spans="1:8" x14ac:dyDescent="0.2">
      <c r="A11" t="s">
        <v>10</v>
      </c>
      <c r="B11" s="3">
        <v>20250</v>
      </c>
      <c r="C11" s="3">
        <v>45000</v>
      </c>
      <c r="D11" s="3">
        <v>15000</v>
      </c>
      <c r="E11" s="3">
        <v>3950</v>
      </c>
      <c r="F11" s="3">
        <v>5350</v>
      </c>
      <c r="G11" s="3">
        <v>2950</v>
      </c>
      <c r="H11" s="3">
        <f t="shared" si="0"/>
        <v>92500</v>
      </c>
    </row>
    <row r="12" spans="1:8" x14ac:dyDescent="0.2">
      <c r="A12" t="s">
        <v>11</v>
      </c>
      <c r="B12" s="3">
        <v>20500</v>
      </c>
      <c r="C12" s="3">
        <v>45500</v>
      </c>
      <c r="D12" s="3">
        <v>15000</v>
      </c>
      <c r="E12" s="3">
        <v>4000</v>
      </c>
      <c r="F12" s="3">
        <v>5400</v>
      </c>
      <c r="G12" s="3">
        <v>3000</v>
      </c>
      <c r="H12" s="3">
        <f t="shared" si="0"/>
        <v>93400</v>
      </c>
    </row>
    <row r="13" spans="1:8" x14ac:dyDescent="0.2">
      <c r="A13" t="s">
        <v>12</v>
      </c>
      <c r="B13" s="3">
        <v>20750</v>
      </c>
      <c r="C13" s="3">
        <v>46000</v>
      </c>
      <c r="D13" s="3">
        <v>15000</v>
      </c>
      <c r="E13" s="3">
        <v>4050</v>
      </c>
      <c r="F13" s="3">
        <v>5450</v>
      </c>
      <c r="G13" s="3">
        <v>3050</v>
      </c>
      <c r="H13" s="3">
        <f t="shared" si="0"/>
        <v>94300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6.33203125" bestFit="1" customWidth="1"/>
    <col min="2" max="2" width="14.5" bestFit="1" customWidth="1"/>
    <col min="3" max="4" width="10.83203125" bestFit="1" customWidth="1"/>
    <col min="5" max="6" width="9.83203125" bestFit="1" customWidth="1"/>
    <col min="7" max="7" width="10.33203125" bestFit="1" customWidth="1"/>
    <col min="8" max="8" width="11.83203125" bestFit="1" customWidth="1"/>
  </cols>
  <sheetData>
    <row r="1" spans="1:8" x14ac:dyDescent="0.2">
      <c r="A1" s="1" t="s">
        <v>0</v>
      </c>
      <c r="B1" s="1" t="s">
        <v>32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33</v>
      </c>
      <c r="H1" s="1" t="s">
        <v>34</v>
      </c>
    </row>
    <row r="2" spans="1:8" x14ac:dyDescent="0.2">
      <c r="A2" t="s">
        <v>1</v>
      </c>
      <c r="B2" s="3">
        <v>18000</v>
      </c>
      <c r="C2" s="3">
        <v>42000</v>
      </c>
      <c r="D2" s="3">
        <v>15000</v>
      </c>
      <c r="E2" s="3">
        <v>3500</v>
      </c>
      <c r="F2" s="3">
        <v>5000</v>
      </c>
      <c r="G2" s="3">
        <v>2500</v>
      </c>
      <c r="H2" s="3">
        <v>86000</v>
      </c>
    </row>
    <row r="3" spans="1:8" x14ac:dyDescent="0.2">
      <c r="A3" t="s">
        <v>2</v>
      </c>
      <c r="B3" s="3">
        <v>18500</v>
      </c>
      <c r="C3" s="3">
        <v>42000</v>
      </c>
      <c r="D3" s="3">
        <v>15000</v>
      </c>
      <c r="E3" s="3">
        <v>3550</v>
      </c>
      <c r="F3" s="3">
        <v>5000</v>
      </c>
      <c r="G3" s="3">
        <v>2600</v>
      </c>
      <c r="H3" s="3">
        <v>86650</v>
      </c>
    </row>
    <row r="4" spans="1:8" x14ac:dyDescent="0.2">
      <c r="A4" t="s">
        <v>3</v>
      </c>
      <c r="B4" s="3">
        <v>19000</v>
      </c>
      <c r="C4" s="3">
        <v>43000</v>
      </c>
      <c r="D4" s="3">
        <v>15000</v>
      </c>
      <c r="E4" s="3">
        <v>3600</v>
      </c>
      <c r="F4" s="3">
        <v>5000</v>
      </c>
      <c r="G4" s="3">
        <v>2700</v>
      </c>
      <c r="H4" s="3">
        <v>88300</v>
      </c>
    </row>
    <row r="5" spans="1:8" x14ac:dyDescent="0.2">
      <c r="A5" t="s">
        <v>4</v>
      </c>
      <c r="B5" s="3">
        <v>19500</v>
      </c>
      <c r="C5" s="3">
        <v>43000</v>
      </c>
      <c r="D5" s="3">
        <v>15000</v>
      </c>
      <c r="E5" s="3">
        <v>3800</v>
      </c>
      <c r="F5" s="3">
        <v>5100</v>
      </c>
      <c r="G5" s="3">
        <v>2800</v>
      </c>
      <c r="H5" s="3">
        <v>89200</v>
      </c>
    </row>
    <row r="6" spans="1:8" x14ac:dyDescent="0.2">
      <c r="A6" t="s">
        <v>5</v>
      </c>
      <c r="B6" s="3">
        <v>21000</v>
      </c>
      <c r="C6" s="3">
        <v>44500</v>
      </c>
      <c r="D6" s="3">
        <v>15000</v>
      </c>
      <c r="E6" s="3">
        <v>4200</v>
      </c>
      <c r="F6" s="3">
        <v>5300</v>
      </c>
      <c r="G6" s="3">
        <v>3000</v>
      </c>
      <c r="H6" s="3">
        <v>93000</v>
      </c>
    </row>
    <row r="7" spans="1:8" x14ac:dyDescent="0.2">
      <c r="A7" t="s">
        <v>6</v>
      </c>
      <c r="B7" s="3">
        <v>21500</v>
      </c>
      <c r="C7" s="3">
        <v>45000</v>
      </c>
      <c r="D7" s="3">
        <v>15000</v>
      </c>
      <c r="E7" s="3">
        <v>4300</v>
      </c>
      <c r="F7" s="3">
        <v>5400</v>
      </c>
      <c r="G7" s="3">
        <v>3100</v>
      </c>
      <c r="H7" s="3">
        <v>94300</v>
      </c>
    </row>
    <row r="8" spans="1:8" x14ac:dyDescent="0.2">
      <c r="A8" t="s">
        <v>7</v>
      </c>
      <c r="B8" s="3">
        <v>22000</v>
      </c>
      <c r="C8" s="3">
        <v>46000</v>
      </c>
      <c r="D8" s="3">
        <v>15000</v>
      </c>
      <c r="E8" s="3">
        <v>4500</v>
      </c>
      <c r="F8" s="3">
        <v>5500</v>
      </c>
      <c r="G8" s="3">
        <v>3300</v>
      </c>
      <c r="H8" s="3">
        <v>96300</v>
      </c>
    </row>
    <row r="9" spans="1:8" x14ac:dyDescent="0.2">
      <c r="A9" t="s">
        <v>8</v>
      </c>
      <c r="B9" s="3">
        <v>22500</v>
      </c>
      <c r="C9" s="3">
        <v>46500</v>
      </c>
      <c r="D9" s="3">
        <v>15000</v>
      </c>
      <c r="E9" s="3">
        <v>4800</v>
      </c>
      <c r="F9" s="3">
        <v>5700</v>
      </c>
      <c r="G9" s="3">
        <v>3500</v>
      </c>
      <c r="H9" s="3">
        <v>98000</v>
      </c>
    </row>
    <row r="10" spans="1:8" x14ac:dyDescent="0.2">
      <c r="A10" t="s">
        <v>9</v>
      </c>
      <c r="B10" s="3">
        <v>23000</v>
      </c>
      <c r="C10" s="3">
        <v>47000</v>
      </c>
      <c r="D10" s="3">
        <v>15000</v>
      </c>
      <c r="E10" s="3">
        <v>5000</v>
      </c>
      <c r="F10" s="3">
        <v>5900</v>
      </c>
      <c r="G10" s="3">
        <v>3600</v>
      </c>
      <c r="H10" s="3">
        <v>99500</v>
      </c>
    </row>
    <row r="11" spans="1:8" x14ac:dyDescent="0.2">
      <c r="A11" t="s">
        <v>10</v>
      </c>
      <c r="B11" s="3">
        <v>25500</v>
      </c>
      <c r="C11" s="3">
        <v>47000</v>
      </c>
      <c r="D11" s="3">
        <v>15000</v>
      </c>
      <c r="E11" s="3">
        <v>5500</v>
      </c>
      <c r="F11" s="3">
        <v>6200</v>
      </c>
      <c r="G11" s="3">
        <v>3900</v>
      </c>
      <c r="H11" s="3">
        <v>103100</v>
      </c>
    </row>
    <row r="12" spans="1:8" x14ac:dyDescent="0.2">
      <c r="A12" t="s">
        <v>11</v>
      </c>
      <c r="B12" s="3">
        <v>26000</v>
      </c>
      <c r="C12" s="3">
        <v>47500</v>
      </c>
      <c r="D12" s="3">
        <v>15000</v>
      </c>
      <c r="E12" s="3">
        <v>5600</v>
      </c>
      <c r="F12" s="3">
        <v>6500</v>
      </c>
      <c r="G12" s="3">
        <v>4100</v>
      </c>
      <c r="H12" s="3">
        <v>104700</v>
      </c>
    </row>
    <row r="13" spans="1:8" x14ac:dyDescent="0.2">
      <c r="A13" t="s">
        <v>12</v>
      </c>
      <c r="B13" s="3">
        <v>27000</v>
      </c>
      <c r="C13" s="3">
        <v>48000</v>
      </c>
      <c r="D13" s="3">
        <v>15000</v>
      </c>
      <c r="E13" s="3">
        <v>5800</v>
      </c>
      <c r="F13" s="3">
        <v>6900</v>
      </c>
      <c r="G13" s="3">
        <v>4200</v>
      </c>
      <c r="H13" s="3">
        <v>106900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6.33203125" bestFit="1" customWidth="1"/>
    <col min="2" max="2" width="18" customWidth="1"/>
    <col min="3" max="3" width="14.33203125" customWidth="1"/>
    <col min="4" max="4" width="14.1640625" customWidth="1"/>
  </cols>
  <sheetData>
    <row r="1" spans="1:4" x14ac:dyDescent="0.2">
      <c r="A1" s="1" t="s">
        <v>0</v>
      </c>
      <c r="B1" s="1" t="s">
        <v>17</v>
      </c>
      <c r="C1" s="1" t="s">
        <v>18</v>
      </c>
      <c r="D1" s="1" t="s">
        <v>19</v>
      </c>
    </row>
    <row r="2" spans="1:4" x14ac:dyDescent="0.2">
      <c r="A2" t="s">
        <v>1</v>
      </c>
      <c r="B2" s="4">
        <v>33000</v>
      </c>
      <c r="C2" s="4">
        <v>29000</v>
      </c>
      <c r="D2" s="4">
        <v>12000</v>
      </c>
    </row>
    <row r="3" spans="1:4" x14ac:dyDescent="0.2">
      <c r="A3" t="s">
        <v>2</v>
      </c>
      <c r="B3" s="4">
        <v>33800</v>
      </c>
      <c r="C3" s="4">
        <v>29500</v>
      </c>
      <c r="D3" s="4">
        <v>12500</v>
      </c>
    </row>
    <row r="4" spans="1:4" x14ac:dyDescent="0.2">
      <c r="A4" t="s">
        <v>3</v>
      </c>
      <c r="B4" s="4">
        <v>35000</v>
      </c>
      <c r="C4" s="4">
        <v>30000</v>
      </c>
      <c r="D4" s="4">
        <v>13000</v>
      </c>
    </row>
    <row r="5" spans="1:4" x14ac:dyDescent="0.2">
      <c r="A5" t="s">
        <v>4</v>
      </c>
      <c r="B5" s="4">
        <v>34200</v>
      </c>
      <c r="C5" s="4">
        <v>31000</v>
      </c>
      <c r="D5" s="4">
        <v>13500</v>
      </c>
    </row>
    <row r="6" spans="1:4" x14ac:dyDescent="0.2">
      <c r="A6" t="s">
        <v>5</v>
      </c>
      <c r="B6" s="4">
        <v>36900</v>
      </c>
      <c r="C6" s="4">
        <v>31500</v>
      </c>
      <c r="D6" s="4">
        <v>16500</v>
      </c>
    </row>
    <row r="7" spans="1:4" x14ac:dyDescent="0.2">
      <c r="A7" t="s">
        <v>6</v>
      </c>
      <c r="B7" s="4">
        <v>39300</v>
      </c>
      <c r="C7" s="4">
        <v>32000</v>
      </c>
      <c r="D7" s="4">
        <v>17000</v>
      </c>
    </row>
    <row r="8" spans="1:4" x14ac:dyDescent="0.2">
      <c r="A8" t="s">
        <v>7</v>
      </c>
      <c r="B8" s="4">
        <v>40200</v>
      </c>
      <c r="C8" s="4">
        <v>33000</v>
      </c>
      <c r="D8" s="4">
        <v>17500</v>
      </c>
    </row>
    <row r="9" spans="1:4" x14ac:dyDescent="0.2">
      <c r="A9" t="s">
        <v>8</v>
      </c>
      <c r="B9" s="4">
        <v>41300</v>
      </c>
      <c r="C9" s="4">
        <v>34000</v>
      </c>
      <c r="D9" s="4">
        <v>18000</v>
      </c>
    </row>
    <row r="10" spans="1:4" x14ac:dyDescent="0.2">
      <c r="A10" t="s">
        <v>9</v>
      </c>
      <c r="B10" s="4">
        <v>42800</v>
      </c>
      <c r="C10" s="4">
        <v>34500</v>
      </c>
      <c r="D10" s="4">
        <v>20000</v>
      </c>
    </row>
    <row r="11" spans="1:4" x14ac:dyDescent="0.2">
      <c r="A11" t="s">
        <v>10</v>
      </c>
      <c r="B11" s="4">
        <v>43900</v>
      </c>
      <c r="C11" s="4">
        <v>35000</v>
      </c>
      <c r="D11" s="4">
        <v>21000</v>
      </c>
    </row>
    <row r="12" spans="1:4" x14ac:dyDescent="0.2">
      <c r="A12" t="s">
        <v>11</v>
      </c>
      <c r="B12" s="4">
        <v>50000</v>
      </c>
      <c r="C12" s="4">
        <v>35500</v>
      </c>
      <c r="D12" s="4">
        <v>22000</v>
      </c>
    </row>
    <row r="13" spans="1:4" x14ac:dyDescent="0.2">
      <c r="A13" t="s">
        <v>12</v>
      </c>
      <c r="B13" s="4">
        <v>47000</v>
      </c>
      <c r="C13" s="4">
        <v>36000</v>
      </c>
      <c r="D13" s="4">
        <v>23000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F12" sqref="F12"/>
    </sheetView>
  </sheetViews>
  <sheetFormatPr baseColWidth="10" defaultColWidth="8.83203125" defaultRowHeight="15" x14ac:dyDescent="0.2"/>
  <cols>
    <col min="2" max="3" width="10.83203125" bestFit="1" customWidth="1"/>
    <col min="4" max="4" width="9.83203125" bestFit="1" customWidth="1"/>
    <col min="5" max="5" width="9.1640625" customWidth="1"/>
    <col min="6" max="6" width="15.33203125" bestFit="1" customWidth="1"/>
  </cols>
  <sheetData>
    <row r="1" spans="1:6" x14ac:dyDescent="0.2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41</v>
      </c>
    </row>
    <row r="2" spans="1:6" x14ac:dyDescent="0.2">
      <c r="A2" t="s">
        <v>1</v>
      </c>
      <c r="B2" s="3">
        <v>20000</v>
      </c>
      <c r="C2" s="3">
        <v>7000</v>
      </c>
      <c r="D2" s="3">
        <v>3500</v>
      </c>
      <c r="E2" s="3">
        <v>2500</v>
      </c>
      <c r="F2" s="3">
        <v>33000</v>
      </c>
    </row>
    <row r="3" spans="1:6" x14ac:dyDescent="0.2">
      <c r="A3" t="s">
        <v>2</v>
      </c>
      <c r="B3" s="3">
        <v>20500</v>
      </c>
      <c r="C3" s="3">
        <v>7100</v>
      </c>
      <c r="D3" s="3">
        <v>3600</v>
      </c>
      <c r="E3" s="3">
        <v>2600</v>
      </c>
      <c r="F3" s="3">
        <v>33800</v>
      </c>
    </row>
    <row r="4" spans="1:6" x14ac:dyDescent="0.2">
      <c r="A4" t="s">
        <v>3</v>
      </c>
      <c r="B4" s="3">
        <v>21000</v>
      </c>
      <c r="C4" s="3">
        <v>7200</v>
      </c>
      <c r="D4" s="3">
        <v>3800</v>
      </c>
      <c r="E4" s="3">
        <v>3000</v>
      </c>
      <c r="F4" s="3">
        <v>35000</v>
      </c>
    </row>
    <row r="5" spans="1:6" x14ac:dyDescent="0.2">
      <c r="A5" t="s">
        <v>4</v>
      </c>
      <c r="B5" s="3">
        <v>18000</v>
      </c>
      <c r="C5" s="3">
        <v>8500</v>
      </c>
      <c r="D5" s="3">
        <v>4500</v>
      </c>
      <c r="E5" s="3">
        <v>3200</v>
      </c>
      <c r="F5" s="3">
        <v>34200</v>
      </c>
    </row>
    <row r="6" spans="1:6" x14ac:dyDescent="0.2">
      <c r="A6" t="s">
        <v>5</v>
      </c>
      <c r="B6" s="3">
        <v>19500</v>
      </c>
      <c r="C6" s="3">
        <v>8600</v>
      </c>
      <c r="D6" s="3">
        <v>5200</v>
      </c>
      <c r="E6" s="3">
        <v>3600</v>
      </c>
      <c r="F6" s="3">
        <v>36900</v>
      </c>
    </row>
    <row r="7" spans="1:6" x14ac:dyDescent="0.2">
      <c r="A7" t="s">
        <v>6</v>
      </c>
      <c r="B7" s="3">
        <v>20500</v>
      </c>
      <c r="C7" s="3">
        <v>8800</v>
      </c>
      <c r="D7" s="3">
        <v>5600</v>
      </c>
      <c r="E7" s="3">
        <v>4400</v>
      </c>
      <c r="F7" s="3">
        <v>39300</v>
      </c>
    </row>
    <row r="8" spans="1:6" x14ac:dyDescent="0.2">
      <c r="A8" t="s">
        <v>7</v>
      </c>
      <c r="B8" s="3">
        <v>21000</v>
      </c>
      <c r="C8" s="3">
        <v>9000</v>
      </c>
      <c r="D8" s="3">
        <v>5900</v>
      </c>
      <c r="E8" s="3">
        <v>4300</v>
      </c>
      <c r="F8" s="3">
        <v>40200</v>
      </c>
    </row>
    <row r="9" spans="1:6" x14ac:dyDescent="0.2">
      <c r="A9" t="s">
        <v>8</v>
      </c>
      <c r="B9" s="3">
        <v>21500</v>
      </c>
      <c r="C9" s="3">
        <v>9200</v>
      </c>
      <c r="D9" s="3">
        <v>6100</v>
      </c>
      <c r="E9" s="3">
        <v>4500</v>
      </c>
      <c r="F9" s="3">
        <v>41300</v>
      </c>
    </row>
    <row r="10" spans="1:6" x14ac:dyDescent="0.2">
      <c r="A10" t="s">
        <v>9</v>
      </c>
      <c r="B10" s="3">
        <v>21800</v>
      </c>
      <c r="C10" s="3">
        <v>9500</v>
      </c>
      <c r="D10" s="3">
        <v>6500</v>
      </c>
      <c r="E10" s="3">
        <v>5000</v>
      </c>
      <c r="F10" s="3">
        <v>42800</v>
      </c>
    </row>
    <row r="11" spans="1:6" x14ac:dyDescent="0.2">
      <c r="A11" t="s">
        <v>10</v>
      </c>
      <c r="B11" s="3">
        <v>22000</v>
      </c>
      <c r="C11" s="3">
        <v>9700</v>
      </c>
      <c r="D11" s="3">
        <v>7000</v>
      </c>
      <c r="E11" s="3">
        <v>5200</v>
      </c>
      <c r="F11" s="3">
        <v>43900</v>
      </c>
    </row>
    <row r="12" spans="1:6" x14ac:dyDescent="0.2">
      <c r="A12" t="s">
        <v>11</v>
      </c>
      <c r="B12" s="3">
        <v>22500</v>
      </c>
      <c r="C12" s="3">
        <v>10000</v>
      </c>
      <c r="D12" s="3">
        <v>7500</v>
      </c>
      <c r="E12" s="3">
        <v>5600</v>
      </c>
      <c r="F12" s="3">
        <v>45600</v>
      </c>
    </row>
    <row r="13" spans="1:6" x14ac:dyDescent="0.2">
      <c r="A13" t="s">
        <v>12</v>
      </c>
      <c r="B13" s="3">
        <v>23000</v>
      </c>
      <c r="C13" s="3">
        <v>10200</v>
      </c>
      <c r="D13" s="3">
        <v>7800</v>
      </c>
      <c r="E13" s="3">
        <v>6000</v>
      </c>
      <c r="F13" s="3">
        <v>47000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D14" sqref="D14"/>
    </sheetView>
  </sheetViews>
  <sheetFormatPr baseColWidth="10" defaultColWidth="8.83203125" defaultRowHeight="15" x14ac:dyDescent="0.2"/>
  <cols>
    <col min="2" max="2" width="11.83203125" bestFit="1" customWidth="1"/>
    <col min="3" max="3" width="9.1640625" bestFit="1" customWidth="1"/>
    <col min="4" max="4" width="9.83203125" bestFit="1" customWidth="1"/>
    <col min="5" max="5" width="11.83203125" bestFit="1" customWidth="1"/>
  </cols>
  <sheetData>
    <row r="1" spans="1:5" x14ac:dyDescent="0.2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2">
      <c r="A2" t="s">
        <v>1</v>
      </c>
      <c r="B2" s="3">
        <v>120000</v>
      </c>
      <c r="C2" s="3">
        <v>700</v>
      </c>
      <c r="D2" s="3">
        <v>5000</v>
      </c>
      <c r="E2" s="3">
        <v>115000</v>
      </c>
    </row>
    <row r="3" spans="1:5" x14ac:dyDescent="0.2">
      <c r="A3" t="s">
        <v>2</v>
      </c>
      <c r="B3" s="3">
        <v>115000</v>
      </c>
      <c r="C3" s="3">
        <v>670.83</v>
      </c>
      <c r="D3" s="3">
        <v>5000</v>
      </c>
      <c r="E3" s="3">
        <v>110000</v>
      </c>
    </row>
    <row r="4" spans="1:5" x14ac:dyDescent="0.2">
      <c r="A4" t="s">
        <v>3</v>
      </c>
      <c r="B4" s="3">
        <v>110000</v>
      </c>
      <c r="C4" s="3">
        <v>641.66999999999996</v>
      </c>
      <c r="D4" s="3">
        <v>5000</v>
      </c>
      <c r="E4" s="3">
        <v>105000</v>
      </c>
    </row>
    <row r="5" spans="1:5" x14ac:dyDescent="0.2">
      <c r="A5" t="s">
        <v>4</v>
      </c>
      <c r="B5" s="3">
        <v>105000</v>
      </c>
      <c r="C5" s="3">
        <v>612.5</v>
      </c>
      <c r="D5" s="3">
        <v>5000</v>
      </c>
      <c r="E5" s="3">
        <v>100000</v>
      </c>
    </row>
    <row r="6" spans="1:5" x14ac:dyDescent="0.2">
      <c r="A6" t="s">
        <v>5</v>
      </c>
      <c r="B6" s="3">
        <v>100000</v>
      </c>
      <c r="C6" s="3">
        <v>583.33000000000004</v>
      </c>
      <c r="D6" s="3">
        <v>5000</v>
      </c>
      <c r="E6" s="3">
        <v>95000</v>
      </c>
    </row>
    <row r="7" spans="1:5" x14ac:dyDescent="0.2">
      <c r="A7" t="s">
        <v>6</v>
      </c>
      <c r="B7" s="3">
        <v>95000</v>
      </c>
      <c r="C7" s="3">
        <v>554.16999999999996</v>
      </c>
      <c r="D7" s="3">
        <v>5000</v>
      </c>
      <c r="E7" s="3">
        <v>90000</v>
      </c>
    </row>
    <row r="8" spans="1:5" x14ac:dyDescent="0.2">
      <c r="A8" t="s">
        <v>7</v>
      </c>
      <c r="B8" s="3">
        <v>90000</v>
      </c>
      <c r="C8" s="3">
        <v>525</v>
      </c>
      <c r="D8" s="3">
        <v>5000</v>
      </c>
      <c r="E8" s="3">
        <v>85000</v>
      </c>
    </row>
    <row r="9" spans="1:5" x14ac:dyDescent="0.2">
      <c r="A9" t="s">
        <v>8</v>
      </c>
      <c r="B9" s="3">
        <v>85000</v>
      </c>
      <c r="C9" s="3">
        <v>495.83</v>
      </c>
      <c r="D9" s="3">
        <v>5000</v>
      </c>
      <c r="E9" s="3">
        <v>80000</v>
      </c>
    </row>
    <row r="10" spans="1:5" x14ac:dyDescent="0.2">
      <c r="A10" t="s">
        <v>9</v>
      </c>
      <c r="B10" s="3">
        <v>80000</v>
      </c>
      <c r="C10" s="3">
        <v>466.67</v>
      </c>
      <c r="D10" s="3">
        <v>5000</v>
      </c>
      <c r="E10" s="3">
        <v>75000</v>
      </c>
    </row>
    <row r="11" spans="1:5" x14ac:dyDescent="0.2">
      <c r="A11" t="s">
        <v>10</v>
      </c>
      <c r="B11" s="3">
        <v>75000</v>
      </c>
      <c r="C11" s="3">
        <v>437.5</v>
      </c>
      <c r="D11" s="3">
        <v>5000</v>
      </c>
      <c r="E11" s="3">
        <v>70000</v>
      </c>
    </row>
    <row r="12" spans="1:5" x14ac:dyDescent="0.2">
      <c r="A12" t="s">
        <v>11</v>
      </c>
      <c r="B12" s="3">
        <v>70000</v>
      </c>
      <c r="C12" s="3">
        <v>408.33</v>
      </c>
      <c r="D12" s="3">
        <v>5000</v>
      </c>
      <c r="E12" s="3">
        <v>65000</v>
      </c>
    </row>
    <row r="13" spans="1:5" x14ac:dyDescent="0.2">
      <c r="A13" t="s">
        <v>12</v>
      </c>
      <c r="B13" s="3">
        <v>65000</v>
      </c>
      <c r="C13" s="3">
        <v>379.17</v>
      </c>
      <c r="D13" s="3">
        <v>5000</v>
      </c>
      <c r="E13" s="3">
        <v>60000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28</v>
      </c>
    </row>
    <row r="2" spans="1:2" x14ac:dyDescent="0.2">
      <c r="A2" t="s">
        <v>3</v>
      </c>
      <c r="B2">
        <v>25000</v>
      </c>
    </row>
    <row r="3" spans="1:2" x14ac:dyDescent="0.2">
      <c r="A3" t="s">
        <v>9</v>
      </c>
      <c r="B3">
        <v>30000</v>
      </c>
    </row>
    <row r="4" spans="1:2" x14ac:dyDescent="0.2">
      <c r="A4" t="s">
        <v>11</v>
      </c>
      <c r="B4">
        <v>25000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50CF-EFBC-F84A-B08F-A257DACB0141}">
  <dimension ref="A2:E16"/>
  <sheetViews>
    <sheetView workbookViewId="0">
      <selection activeCell="B6" sqref="B6:E9"/>
    </sheetView>
  </sheetViews>
  <sheetFormatPr baseColWidth="10" defaultColWidth="8.83203125" defaultRowHeight="17" x14ac:dyDescent="0.2"/>
  <cols>
    <col min="1" max="1" width="18.83203125" style="5" customWidth="1"/>
    <col min="2" max="2" width="12.6640625" style="5" customWidth="1"/>
    <col min="3" max="3" width="11.5" style="5" customWidth="1"/>
    <col min="4" max="4" width="9" style="5" customWidth="1"/>
    <col min="5" max="16384" width="8.83203125" style="5"/>
  </cols>
  <sheetData>
    <row r="2" spans="1:5" x14ac:dyDescent="0.2">
      <c r="A2" s="5" t="s">
        <v>42</v>
      </c>
      <c r="C2" s="5">
        <v>85000</v>
      </c>
    </row>
    <row r="3" spans="1:5" x14ac:dyDescent="0.2">
      <c r="A3" s="5" t="s">
        <v>43</v>
      </c>
      <c r="C3" s="5">
        <v>833.33</v>
      </c>
    </row>
    <row r="5" spans="1:5" x14ac:dyDescent="0.2">
      <c r="A5" s="5" t="s">
        <v>44</v>
      </c>
    </row>
    <row r="6" spans="1:5" x14ac:dyDescent="0.2">
      <c r="C6" s="5" t="s">
        <v>45</v>
      </c>
      <c r="D6" s="5" t="s">
        <v>46</v>
      </c>
      <c r="E6" s="5" t="s">
        <v>47</v>
      </c>
    </row>
    <row r="7" spans="1:5" x14ac:dyDescent="0.2">
      <c r="B7" s="5" t="s">
        <v>48</v>
      </c>
      <c r="C7" s="5">
        <v>10</v>
      </c>
      <c r="D7" s="5">
        <v>5</v>
      </c>
      <c r="E7" s="5">
        <v>2</v>
      </c>
    </row>
    <row r="8" spans="1:5" x14ac:dyDescent="0.2">
      <c r="B8" s="5" t="s">
        <v>49</v>
      </c>
      <c r="C8" s="5">
        <v>0</v>
      </c>
      <c r="D8" s="5">
        <v>0</v>
      </c>
      <c r="E8" s="5">
        <v>4</v>
      </c>
    </row>
    <row r="9" spans="1:5" x14ac:dyDescent="0.2">
      <c r="B9" s="5" t="s">
        <v>50</v>
      </c>
      <c r="C9" s="5">
        <v>-15</v>
      </c>
      <c r="D9" s="5">
        <v>-5</v>
      </c>
      <c r="E9" s="5">
        <v>8</v>
      </c>
    </row>
    <row r="14" spans="1:5" x14ac:dyDescent="0.2">
      <c r="A14" s="5" t="s">
        <v>51</v>
      </c>
    </row>
    <row r="15" spans="1:5" x14ac:dyDescent="0.2">
      <c r="A15" s="5" t="s">
        <v>52</v>
      </c>
    </row>
    <row r="16" spans="1:5" x14ac:dyDescent="0.2">
      <c r="A16" s="5" t="s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B43E-CDAE-844C-BF65-FF268DA1AD0B}">
  <dimension ref="A1:K13"/>
  <sheetViews>
    <sheetView workbookViewId="0">
      <selection activeCell="A2" sqref="A2:A13"/>
    </sheetView>
  </sheetViews>
  <sheetFormatPr baseColWidth="10" defaultRowHeight="15" x14ac:dyDescent="0.2"/>
  <cols>
    <col min="1" max="1" width="10.83203125" style="8"/>
    <col min="2" max="2" width="16" style="8" customWidth="1"/>
    <col min="3" max="3" width="15.6640625" style="8" customWidth="1"/>
    <col min="4" max="4" width="16.1640625" style="8" customWidth="1"/>
    <col min="5" max="5" width="15.6640625" style="8" customWidth="1"/>
    <col min="6" max="6" width="15.5" style="8" customWidth="1"/>
    <col min="7" max="7" width="10.83203125" style="8"/>
    <col min="8" max="8" width="15.83203125" style="8" customWidth="1"/>
    <col min="9" max="10" width="15.33203125" style="8" customWidth="1"/>
    <col min="11" max="11" width="13.6640625" style="8" customWidth="1"/>
    <col min="12" max="16384" width="10.83203125" style="8"/>
  </cols>
  <sheetData>
    <row r="1" spans="1:11" x14ac:dyDescent="0.2">
      <c r="A1" s="8" t="s">
        <v>0</v>
      </c>
      <c r="B1" s="8" t="s">
        <v>57</v>
      </c>
      <c r="C1" s="8" t="s">
        <v>55</v>
      </c>
      <c r="D1" s="8" t="s">
        <v>58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25</v>
      </c>
      <c r="K1" s="8" t="s">
        <v>64</v>
      </c>
    </row>
    <row r="2" spans="1:11" x14ac:dyDescent="0.2">
      <c r="A2" s="8" t="s">
        <v>1</v>
      </c>
      <c r="B2" s="8">
        <f>INDEX(Revenue!E:E,MATCH(A2,Revenue!A:A, 0))</f>
        <v>114000</v>
      </c>
      <c r="C2" s="8">
        <f>INDEX(Revenue!F:F,MATCH(A2,Revenue!A:A, 0))</f>
        <v>109250</v>
      </c>
      <c r="D2" s="8">
        <f>INDEX('Budget OPEX'!H:H,MATCH(A2,'Budget OPEX'!A:A, 0))</f>
        <v>86000</v>
      </c>
      <c r="E2" s="8">
        <f>INDEX('Actual OPEX'!H:H,MATCH(A2,'Actual OPEX'!A:A, 0))</f>
        <v>86000</v>
      </c>
      <c r="F2" s="8">
        <f>B2-D2</f>
        <v>28000</v>
      </c>
      <c r="G2" s="8">
        <f>C2-E2</f>
        <v>23250</v>
      </c>
      <c r="H2" s="9">
        <f>F2/B2</f>
        <v>0.24561403508771928</v>
      </c>
      <c r="I2" s="9">
        <f>G2/C2</f>
        <v>0.21281464530892449</v>
      </c>
      <c r="J2" s="8">
        <f>INDEX('Loan Schedule'!C:C,MATCH(A2,'Loan Schedule'!A:A, 0))</f>
        <v>700</v>
      </c>
      <c r="K2" s="8">
        <f>F2-J2</f>
        <v>27300</v>
      </c>
    </row>
    <row r="3" spans="1:11" x14ac:dyDescent="0.2">
      <c r="A3" s="8" t="s">
        <v>2</v>
      </c>
      <c r="B3" s="8">
        <f>INDEX(Revenue!E:E,MATCH(A3,Revenue!A:A, 0))</f>
        <v>118750</v>
      </c>
      <c r="C3" s="8">
        <f>INDEX(Revenue!F:F,MATCH(A3,Revenue!A:A, 0))</f>
        <v>106400</v>
      </c>
      <c r="D3" s="8">
        <f>INDEX('Budget OPEX'!H:H,MATCH(A3,'Budget OPEX'!A:A, 0))</f>
        <v>86350</v>
      </c>
      <c r="E3" s="8">
        <f>INDEX('Actual OPEX'!H:H,MATCH(A3,'Actual OPEX'!A:A, 0))</f>
        <v>86650</v>
      </c>
      <c r="F3" s="8">
        <f t="shared" ref="F3:F13" si="0">B3-D3</f>
        <v>32400</v>
      </c>
      <c r="G3" s="8">
        <f t="shared" ref="G3:G13" si="1">C3-E3</f>
        <v>19750</v>
      </c>
      <c r="H3" s="9">
        <f t="shared" ref="H3:H13" si="2">F3/B3</f>
        <v>0.27284210526315789</v>
      </c>
      <c r="I3" s="9">
        <f t="shared" ref="I3:I13" si="3">G3/C3</f>
        <v>0.18562030075187969</v>
      </c>
      <c r="J3" s="8">
        <f>INDEX('Loan Schedule'!C:C,MATCH(A3,'Loan Schedule'!A:A, 0))</f>
        <v>670.83</v>
      </c>
      <c r="K3" s="8">
        <f t="shared" ref="K3:K13" si="4">F3-J3</f>
        <v>31729.17</v>
      </c>
    </row>
    <row r="4" spans="1:11" x14ac:dyDescent="0.2">
      <c r="A4" s="8" t="s">
        <v>3</v>
      </c>
      <c r="B4" s="8">
        <f>INDEX(Revenue!E:E,MATCH(A4,Revenue!A:A, 0))</f>
        <v>123500</v>
      </c>
      <c r="C4" s="8">
        <f>INDEX(Revenue!F:F,MATCH(A4,Revenue!A:A, 0))</f>
        <v>121600</v>
      </c>
      <c r="D4" s="8">
        <f>INDEX('Budget OPEX'!H:H,MATCH(A4,'Budget OPEX'!A:A, 0))</f>
        <v>87200</v>
      </c>
      <c r="E4" s="8">
        <f>INDEX('Actual OPEX'!H:H,MATCH(A4,'Actual OPEX'!A:A, 0))</f>
        <v>88300</v>
      </c>
      <c r="F4" s="8">
        <f t="shared" si="0"/>
        <v>36300</v>
      </c>
      <c r="G4" s="8">
        <f t="shared" si="1"/>
        <v>33300</v>
      </c>
      <c r="H4" s="9">
        <f t="shared" si="2"/>
        <v>0.29392712550607286</v>
      </c>
      <c r="I4" s="9">
        <f t="shared" si="3"/>
        <v>0.27384868421052633</v>
      </c>
      <c r="J4" s="8">
        <f>INDEX('Loan Schedule'!C:C,MATCH(A4,'Loan Schedule'!A:A, 0))</f>
        <v>641.66999999999996</v>
      </c>
      <c r="K4" s="8">
        <f t="shared" si="4"/>
        <v>35658.33</v>
      </c>
    </row>
    <row r="5" spans="1:11" x14ac:dyDescent="0.2">
      <c r="A5" s="8" t="s">
        <v>4</v>
      </c>
      <c r="B5" s="8">
        <f>INDEX(Revenue!E:E,MATCH(A5,Revenue!A:A, 0))</f>
        <v>105600</v>
      </c>
      <c r="C5" s="8">
        <f>INDEX(Revenue!F:F,MATCH(A5,Revenue!A:A, 0))</f>
        <v>96000</v>
      </c>
      <c r="D5" s="8">
        <f>INDEX('Budget OPEX'!H:H,MATCH(A5,'Budget OPEX'!A:A, 0))</f>
        <v>87600</v>
      </c>
      <c r="E5" s="8">
        <f>INDEX('Actual OPEX'!H:H,MATCH(A5,'Actual OPEX'!A:A, 0))</f>
        <v>89200</v>
      </c>
      <c r="F5" s="8">
        <f t="shared" si="0"/>
        <v>18000</v>
      </c>
      <c r="G5" s="8">
        <f t="shared" si="1"/>
        <v>6800</v>
      </c>
      <c r="H5" s="9">
        <f t="shared" si="2"/>
        <v>0.17045454545454544</v>
      </c>
      <c r="I5" s="9">
        <f t="shared" si="3"/>
        <v>7.0833333333333331E-2</v>
      </c>
      <c r="J5" s="8">
        <f>INDEX('Loan Schedule'!C:C,MATCH(A5,'Loan Schedule'!A:A, 0))</f>
        <v>612.5</v>
      </c>
      <c r="K5" s="8">
        <f t="shared" si="4"/>
        <v>17387.5</v>
      </c>
    </row>
    <row r="6" spans="1:11" x14ac:dyDescent="0.2">
      <c r="A6" s="8" t="s">
        <v>5</v>
      </c>
      <c r="B6" s="8">
        <f>INDEX(Revenue!E:E,MATCH(A6,Revenue!A:A, 0))</f>
        <v>134400</v>
      </c>
      <c r="C6" s="8">
        <f>INDEX(Revenue!F:F,MATCH(A6,Revenue!A:A, 0))</f>
        <v>129600</v>
      </c>
      <c r="D6" s="8">
        <f>INDEX('Budget OPEX'!H:H,MATCH(A6,'Budget OPEX'!A:A, 0))</f>
        <v>88500</v>
      </c>
      <c r="E6" s="8">
        <f>INDEX('Actual OPEX'!H:H,MATCH(A6,'Actual OPEX'!A:A, 0))</f>
        <v>93000</v>
      </c>
      <c r="F6" s="8">
        <f t="shared" si="0"/>
        <v>45900</v>
      </c>
      <c r="G6" s="8">
        <f t="shared" si="1"/>
        <v>36600</v>
      </c>
      <c r="H6" s="9">
        <f t="shared" si="2"/>
        <v>0.34151785714285715</v>
      </c>
      <c r="I6" s="9">
        <f t="shared" si="3"/>
        <v>0.28240740740740738</v>
      </c>
      <c r="J6" s="8">
        <f>INDEX('Loan Schedule'!C:C,MATCH(A6,'Loan Schedule'!A:A, 0))</f>
        <v>583.33000000000004</v>
      </c>
      <c r="K6" s="8">
        <f t="shared" si="4"/>
        <v>45316.67</v>
      </c>
    </row>
    <row r="7" spans="1:11" x14ac:dyDescent="0.2">
      <c r="A7" s="8" t="s">
        <v>6</v>
      </c>
      <c r="B7" s="8">
        <f>INDEX(Revenue!E:E,MATCH(A7,Revenue!A:A, 0))</f>
        <v>148800</v>
      </c>
      <c r="C7" s="8">
        <f>INDEX(Revenue!F:F,MATCH(A7,Revenue!A:A, 0))</f>
        <v>151680</v>
      </c>
      <c r="D7" s="8">
        <f>INDEX('Budget OPEX'!H:H,MATCH(A7,'Budget OPEX'!A:A, 0))</f>
        <v>89400</v>
      </c>
      <c r="E7" s="8">
        <f>INDEX('Actual OPEX'!H:H,MATCH(A7,'Actual OPEX'!A:A, 0))</f>
        <v>94300</v>
      </c>
      <c r="F7" s="8">
        <f t="shared" si="0"/>
        <v>59400</v>
      </c>
      <c r="G7" s="8">
        <f t="shared" si="1"/>
        <v>57380</v>
      </c>
      <c r="H7" s="9">
        <f t="shared" si="2"/>
        <v>0.39919354838709675</v>
      </c>
      <c r="I7" s="9">
        <f t="shared" si="3"/>
        <v>0.37829641350210969</v>
      </c>
      <c r="J7" s="8">
        <f>INDEX('Loan Schedule'!C:C,MATCH(A7,'Loan Schedule'!A:A, 0))</f>
        <v>554.16999999999996</v>
      </c>
      <c r="K7" s="8">
        <f t="shared" si="4"/>
        <v>58845.83</v>
      </c>
    </row>
    <row r="8" spans="1:11" x14ac:dyDescent="0.2">
      <c r="A8" s="8" t="s">
        <v>7</v>
      </c>
      <c r="B8" s="8">
        <f>INDEX(Revenue!E:E,MATCH(A8,Revenue!A:A, 0))</f>
        <v>160050</v>
      </c>
      <c r="C8" s="8">
        <f>INDEX(Revenue!F:F,MATCH(A8,Revenue!A:A, 0))</f>
        <v>155200</v>
      </c>
      <c r="D8" s="8">
        <f>INDEX('Budget OPEX'!H:H,MATCH(A8,'Budget OPEX'!A:A, 0))</f>
        <v>90300</v>
      </c>
      <c r="E8" s="8">
        <f>INDEX('Actual OPEX'!H:H,MATCH(A8,'Actual OPEX'!A:A, 0))</f>
        <v>96300</v>
      </c>
      <c r="F8" s="8">
        <f t="shared" si="0"/>
        <v>69750</v>
      </c>
      <c r="G8" s="8">
        <f t="shared" si="1"/>
        <v>58900</v>
      </c>
      <c r="H8" s="9">
        <f t="shared" si="2"/>
        <v>0.43580131208997186</v>
      </c>
      <c r="I8" s="9">
        <f t="shared" si="3"/>
        <v>0.3795103092783505</v>
      </c>
      <c r="J8" s="8">
        <f>INDEX('Loan Schedule'!C:C,MATCH(A8,'Loan Schedule'!A:A, 0))</f>
        <v>525</v>
      </c>
      <c r="K8" s="8">
        <f t="shared" si="4"/>
        <v>69225</v>
      </c>
    </row>
    <row r="9" spans="1:11" x14ac:dyDescent="0.2">
      <c r="A9" s="8" t="s">
        <v>8</v>
      </c>
      <c r="B9" s="8">
        <f>INDEX(Revenue!E:E,MATCH(A9,Revenue!A:A, 0))</f>
        <v>164900</v>
      </c>
      <c r="C9" s="8">
        <f>INDEX(Revenue!F:F,MATCH(A9,Revenue!A:A, 0))</f>
        <v>169750</v>
      </c>
      <c r="D9" s="8">
        <f>INDEX('Budget OPEX'!H:H,MATCH(A9,'Budget OPEX'!A:A, 0))</f>
        <v>91200</v>
      </c>
      <c r="E9" s="8">
        <f>INDEX('Actual OPEX'!H:H,MATCH(A9,'Actual OPEX'!A:A, 0))</f>
        <v>98000</v>
      </c>
      <c r="F9" s="8">
        <f t="shared" si="0"/>
        <v>73700</v>
      </c>
      <c r="G9" s="8">
        <f t="shared" si="1"/>
        <v>71750</v>
      </c>
      <c r="H9" s="9">
        <f t="shared" si="2"/>
        <v>0.44693753790175866</v>
      </c>
      <c r="I9" s="9">
        <f t="shared" si="3"/>
        <v>0.42268041237113402</v>
      </c>
      <c r="J9" s="8">
        <f>INDEX('Loan Schedule'!C:C,MATCH(A9,'Loan Schedule'!A:A, 0))</f>
        <v>495.83</v>
      </c>
      <c r="K9" s="8">
        <f t="shared" si="4"/>
        <v>73204.17</v>
      </c>
    </row>
    <row r="10" spans="1:11" x14ac:dyDescent="0.2">
      <c r="A10" s="8" t="s">
        <v>9</v>
      </c>
      <c r="B10" s="8">
        <f>INDEX(Revenue!E:E,MATCH(A10,Revenue!A:A, 0))</f>
        <v>156800</v>
      </c>
      <c r="C10" s="8">
        <f>INDEX(Revenue!F:F,MATCH(A10,Revenue!A:A, 0))</f>
        <v>147000</v>
      </c>
      <c r="D10" s="8">
        <f>INDEX('Budget OPEX'!H:H,MATCH(A10,'Budget OPEX'!A:A, 0))</f>
        <v>92100</v>
      </c>
      <c r="E10" s="8">
        <f>INDEX('Actual OPEX'!H:H,MATCH(A10,'Actual OPEX'!A:A, 0))</f>
        <v>99500</v>
      </c>
      <c r="F10" s="8">
        <f t="shared" si="0"/>
        <v>64700</v>
      </c>
      <c r="G10" s="8">
        <f t="shared" si="1"/>
        <v>47500</v>
      </c>
      <c r="H10" s="9">
        <f t="shared" si="2"/>
        <v>0.41262755102040816</v>
      </c>
      <c r="I10" s="9">
        <f t="shared" si="3"/>
        <v>0.3231292517006803</v>
      </c>
      <c r="J10" s="8">
        <f>INDEX('Loan Schedule'!C:C,MATCH(A10,'Loan Schedule'!A:A, 0))</f>
        <v>466.67</v>
      </c>
      <c r="K10" s="8">
        <f t="shared" si="4"/>
        <v>64233.33</v>
      </c>
    </row>
    <row r="11" spans="1:11" x14ac:dyDescent="0.2">
      <c r="A11" s="8" t="s">
        <v>10</v>
      </c>
      <c r="B11" s="8">
        <f>INDEX(Revenue!E:E,MATCH(A11,Revenue!A:A, 0))</f>
        <v>161700</v>
      </c>
      <c r="C11" s="8">
        <f>INDEX(Revenue!F:F,MATCH(A11,Revenue!A:A, 0))</f>
        <v>158760</v>
      </c>
      <c r="D11" s="8">
        <f>INDEX('Budget OPEX'!H:H,MATCH(A11,'Budget OPEX'!A:A, 0))</f>
        <v>92500</v>
      </c>
      <c r="E11" s="8">
        <f>INDEX('Actual OPEX'!H:H,MATCH(A11,'Actual OPEX'!A:A, 0))</f>
        <v>103100</v>
      </c>
      <c r="F11" s="8">
        <f t="shared" si="0"/>
        <v>69200</v>
      </c>
      <c r="G11" s="8">
        <f t="shared" si="1"/>
        <v>55660</v>
      </c>
      <c r="H11" s="9">
        <f t="shared" si="2"/>
        <v>0.42795299938157083</v>
      </c>
      <c r="I11" s="9">
        <f t="shared" si="3"/>
        <v>0.35059208868732677</v>
      </c>
      <c r="J11" s="8">
        <f>INDEX('Loan Schedule'!C:C,MATCH(A11,'Loan Schedule'!A:A, 0))</f>
        <v>437.5</v>
      </c>
      <c r="K11" s="8">
        <f t="shared" si="4"/>
        <v>68762.5</v>
      </c>
    </row>
    <row r="12" spans="1:11" x14ac:dyDescent="0.2">
      <c r="A12" s="8" t="s">
        <v>11</v>
      </c>
      <c r="B12" s="8">
        <f>INDEX(Revenue!E:E,MATCH(A12,Revenue!A:A, 0))</f>
        <v>178200</v>
      </c>
      <c r="C12" s="8">
        <f>INDEX(Revenue!F:F,MATCH(A12,Revenue!A:A, 0))</f>
        <v>168300</v>
      </c>
      <c r="D12" s="8">
        <f>INDEX('Budget OPEX'!H:H,MATCH(A12,'Budget OPEX'!A:A, 0))</f>
        <v>93400</v>
      </c>
      <c r="E12" s="8">
        <f>INDEX('Actual OPEX'!H:H,MATCH(A12,'Actual OPEX'!A:A, 0))</f>
        <v>104700</v>
      </c>
      <c r="F12" s="8">
        <f t="shared" si="0"/>
        <v>84800</v>
      </c>
      <c r="G12" s="8">
        <f t="shared" si="1"/>
        <v>63600</v>
      </c>
      <c r="H12" s="9">
        <f t="shared" si="2"/>
        <v>0.47586980920314254</v>
      </c>
      <c r="I12" s="9">
        <f t="shared" si="3"/>
        <v>0.37789661319073081</v>
      </c>
      <c r="J12" s="8">
        <f>INDEX('Loan Schedule'!C:C,MATCH(A12,'Loan Schedule'!A:A, 0))</f>
        <v>408.33</v>
      </c>
      <c r="K12" s="8">
        <f t="shared" si="4"/>
        <v>84391.67</v>
      </c>
    </row>
    <row r="13" spans="1:11" x14ac:dyDescent="0.2">
      <c r="A13" s="8" t="s">
        <v>12</v>
      </c>
      <c r="B13" s="8">
        <f>INDEX(Revenue!E:E,MATCH(A13,Revenue!A:A, 0))</f>
        <v>200000</v>
      </c>
      <c r="C13" s="8">
        <f>INDEX(Revenue!F:F,MATCH(A13,Revenue!A:A, 0))</f>
        <v>185000</v>
      </c>
      <c r="D13" s="8">
        <f>INDEX('Budget OPEX'!H:H,MATCH(A13,'Budget OPEX'!A:A, 0))</f>
        <v>94300</v>
      </c>
      <c r="E13" s="8">
        <f>INDEX('Actual OPEX'!H:H,MATCH(A13,'Actual OPEX'!A:A, 0))</f>
        <v>106900</v>
      </c>
      <c r="F13" s="8">
        <f t="shared" si="0"/>
        <v>105700</v>
      </c>
      <c r="G13" s="8">
        <f t="shared" si="1"/>
        <v>78100</v>
      </c>
      <c r="H13" s="9">
        <f t="shared" si="2"/>
        <v>0.52849999999999997</v>
      </c>
      <c r="I13" s="9">
        <f t="shared" si="3"/>
        <v>0.42216216216216218</v>
      </c>
      <c r="J13" s="8">
        <f>INDEX('Loan Schedule'!C:C,MATCH(A13,'Loan Schedule'!A:A, 0))</f>
        <v>379.17</v>
      </c>
      <c r="K13" s="8">
        <f t="shared" si="4"/>
        <v>105320.83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10FD-B697-6445-8BF1-3DBB83F85833}">
  <dimension ref="A1:G13"/>
  <sheetViews>
    <sheetView workbookViewId="0">
      <selection activeCell="A2" sqref="A2:A13"/>
    </sheetView>
  </sheetViews>
  <sheetFormatPr baseColWidth="10" defaultRowHeight="15" x14ac:dyDescent="0.2"/>
  <cols>
    <col min="1" max="1" width="6.33203125" bestFit="1" customWidth="1"/>
    <col min="2" max="2" width="14.33203125" bestFit="1" customWidth="1"/>
    <col min="3" max="3" width="15.6640625" bestFit="1" customWidth="1"/>
    <col min="4" max="4" width="11.83203125" bestFit="1" customWidth="1"/>
    <col min="5" max="5" width="13.5" bestFit="1" customWidth="1"/>
    <col min="6" max="6" width="12.33203125" bestFit="1" customWidth="1"/>
    <col min="7" max="7" width="16.83203125" customWidth="1"/>
  </cols>
  <sheetData>
    <row r="1" spans="1:7" x14ac:dyDescent="0.2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spans="1:7" x14ac:dyDescent="0.2">
      <c r="A2" s="8" t="s">
        <v>1</v>
      </c>
      <c r="B2" s="8">
        <f>INDEX('P&amp;L Model'!C:C,MATCH(A2,'P&amp;L Model'!A:A, 0))-INDEX('P&amp;L Model'!B:B,MATCH(A2,'P&amp;L Model'!A:A,0))</f>
        <v>-4750</v>
      </c>
      <c r="C2" s="9">
        <f>B2/'P&amp;L Model'!B2</f>
        <v>-4.1666666666666664E-2</v>
      </c>
      <c r="D2" s="8">
        <f>INDEX('P&amp;L Model'!E:E,MATCH(A2,'P&amp;L Model'!A:A,0))-INDEX('P&amp;L Model'!D:D,MATCH(A2,'P&amp;L Model'!A:A,0))</f>
        <v>0</v>
      </c>
      <c r="E2" s="9">
        <f>D2/'P&amp;L Model'!D2</f>
        <v>0</v>
      </c>
      <c r="F2" s="8">
        <f>INDEX('P&amp;L Model'!G:G,MATCH(A2,'P&amp;L Model'!A:A,0))-INDEX('P&amp;L Model'!F:F,MATCH(A2,'P&amp;L Model'!A:A,0))</f>
        <v>-4750</v>
      </c>
      <c r="G2" t="str">
        <f>IF(AND(B2&gt;=0,D2&lt;=0),"F","U")</f>
        <v>U</v>
      </c>
    </row>
    <row r="3" spans="1:7" x14ac:dyDescent="0.2">
      <c r="A3" s="8" t="s">
        <v>2</v>
      </c>
      <c r="B3" s="8">
        <f>INDEX('P&amp;L Model'!C:C,MATCH(A3,'P&amp;L Model'!A:A, 0))-INDEX('P&amp;L Model'!B:B,MATCH(A3,'P&amp;L Model'!A:A,0))</f>
        <v>-12350</v>
      </c>
      <c r="C3" s="9">
        <f>B3/'P&amp;L Model'!B3</f>
        <v>-0.104</v>
      </c>
      <c r="D3" s="8">
        <f>INDEX('P&amp;L Model'!E:E,MATCH(A3,'P&amp;L Model'!A:A, 0))-INDEX('P&amp;L Model'!D:D,MATCH(A3,'P&amp;L Model'!A:A, 0))</f>
        <v>300</v>
      </c>
      <c r="E3" s="9">
        <f>D3/'P&amp;L Model'!D3</f>
        <v>3.4742327735958309E-3</v>
      </c>
      <c r="F3" s="8">
        <f>INDEX('P&amp;L Model'!G:G,MATCH(A3,'P&amp;L Model'!A:A,0))-INDEX('P&amp;L Model'!F:F,MATCH(A3,'P&amp;L Model'!A:A,0))</f>
        <v>-12650</v>
      </c>
      <c r="G3" t="str">
        <f t="shared" ref="G3:G13" si="0">IF(AND(B3&gt;=0,D3&lt;=0),"F","U")</f>
        <v>U</v>
      </c>
    </row>
    <row r="4" spans="1:7" x14ac:dyDescent="0.2">
      <c r="A4" s="8" t="s">
        <v>3</v>
      </c>
      <c r="B4" s="8">
        <f>INDEX('P&amp;L Model'!C:C,MATCH(A4,'P&amp;L Model'!A:A, 0))-INDEX('P&amp;L Model'!B:B,MATCH(A4,'P&amp;L Model'!A:A,0))</f>
        <v>-1900</v>
      </c>
      <c r="C4" s="9">
        <f>B4/'P&amp;L Model'!B4</f>
        <v>-1.5384615384615385E-2</v>
      </c>
      <c r="D4" s="8">
        <f>INDEX('P&amp;L Model'!E:E,MATCH(A4,'P&amp;L Model'!A:A, 0))-INDEX('P&amp;L Model'!D:D,MATCH(A4,'P&amp;L Model'!A:A, 0))</f>
        <v>1100</v>
      </c>
      <c r="E4" s="9">
        <f>D4/'P&amp;L Model'!D4</f>
        <v>1.261467889908257E-2</v>
      </c>
      <c r="F4" s="8">
        <f>INDEX('P&amp;L Model'!G:G,MATCH(A4,'P&amp;L Model'!A:A,0))-INDEX('P&amp;L Model'!F:F,MATCH(A4,'P&amp;L Model'!A:A,0))</f>
        <v>-3000</v>
      </c>
      <c r="G4" t="str">
        <f t="shared" si="0"/>
        <v>U</v>
      </c>
    </row>
    <row r="5" spans="1:7" x14ac:dyDescent="0.2">
      <c r="A5" s="8" t="s">
        <v>4</v>
      </c>
      <c r="B5" s="8">
        <f>INDEX('P&amp;L Model'!C:C,MATCH(A5,'P&amp;L Model'!A:A, 0))-INDEX('P&amp;L Model'!B:B,MATCH(A5,'P&amp;L Model'!A:A,0))</f>
        <v>-9600</v>
      </c>
      <c r="C5" s="9">
        <f>B5/'P&amp;L Model'!B5</f>
        <v>-9.0909090909090912E-2</v>
      </c>
      <c r="D5" s="8">
        <f>INDEX('P&amp;L Model'!E:E,MATCH(A5,'P&amp;L Model'!A:A, 0))-INDEX('P&amp;L Model'!D:D,MATCH(A5,'P&amp;L Model'!A:A, 0))</f>
        <v>1600</v>
      </c>
      <c r="E5" s="9">
        <f>D5/'P&amp;L Model'!D5</f>
        <v>1.8264840182648401E-2</v>
      </c>
      <c r="F5" s="8">
        <f>INDEX('P&amp;L Model'!G:G,MATCH(A5,'P&amp;L Model'!A:A,0))-INDEX('P&amp;L Model'!F:F,MATCH(A5,'P&amp;L Model'!A:A,0))</f>
        <v>-11200</v>
      </c>
      <c r="G5" t="str">
        <f t="shared" si="0"/>
        <v>U</v>
      </c>
    </row>
    <row r="6" spans="1:7" x14ac:dyDescent="0.2">
      <c r="A6" s="8" t="s">
        <v>5</v>
      </c>
      <c r="B6" s="8">
        <f>INDEX('P&amp;L Model'!C:C,MATCH(A6,'P&amp;L Model'!A:A, 0))-INDEX('P&amp;L Model'!B:B,MATCH(A6,'P&amp;L Model'!A:A,0))</f>
        <v>-4800</v>
      </c>
      <c r="C6" s="9">
        <f>B6/'P&amp;L Model'!B6</f>
        <v>-3.5714285714285712E-2</v>
      </c>
      <c r="D6" s="8">
        <f>INDEX('P&amp;L Model'!E:E,MATCH(A6,'P&amp;L Model'!A:A, 0))-INDEX('P&amp;L Model'!D:D,MATCH(A6,'P&amp;L Model'!A:A, 0))</f>
        <v>4500</v>
      </c>
      <c r="E6" s="9">
        <f>D6/'P&amp;L Model'!D6</f>
        <v>5.0847457627118647E-2</v>
      </c>
      <c r="F6" s="8">
        <f>INDEX('P&amp;L Model'!G:G,MATCH(A6,'P&amp;L Model'!A:A,0))-INDEX('P&amp;L Model'!F:F,MATCH(A6,'P&amp;L Model'!A:A,0))</f>
        <v>-9300</v>
      </c>
      <c r="G6" t="str">
        <f t="shared" si="0"/>
        <v>U</v>
      </c>
    </row>
    <row r="7" spans="1:7" x14ac:dyDescent="0.2">
      <c r="A7" s="8" t="s">
        <v>6</v>
      </c>
      <c r="B7" s="8">
        <f>INDEX('P&amp;L Model'!C:C,MATCH(A7,'P&amp;L Model'!A:A, 0))-INDEX('P&amp;L Model'!B:B,MATCH(A7,'P&amp;L Model'!A:A,0))</f>
        <v>2880</v>
      </c>
      <c r="C7" s="9">
        <f>B7/'P&amp;L Model'!B7</f>
        <v>1.935483870967742E-2</v>
      </c>
      <c r="D7" s="8">
        <f>INDEX('P&amp;L Model'!E:E,MATCH(A7,'P&amp;L Model'!A:A, 0))-INDEX('P&amp;L Model'!D:D,MATCH(A7,'P&amp;L Model'!A:A, 0))</f>
        <v>4900</v>
      </c>
      <c r="E7" s="9">
        <f>D7/'P&amp;L Model'!D7</f>
        <v>5.4809843400447429E-2</v>
      </c>
      <c r="F7" s="8">
        <f>INDEX('P&amp;L Model'!G:G,MATCH(A7,'P&amp;L Model'!A:A,0))-INDEX('P&amp;L Model'!F:F,MATCH(A7,'P&amp;L Model'!A:A,0))</f>
        <v>-2020</v>
      </c>
      <c r="G7" t="str">
        <f t="shared" si="0"/>
        <v>U</v>
      </c>
    </row>
    <row r="8" spans="1:7" x14ac:dyDescent="0.2">
      <c r="A8" s="8" t="s">
        <v>7</v>
      </c>
      <c r="B8" s="8">
        <f>INDEX('P&amp;L Model'!C:C,MATCH(A8,'P&amp;L Model'!A:A, 0))-INDEX('P&amp;L Model'!B:B,MATCH(A8,'P&amp;L Model'!A:A,0))</f>
        <v>-4850</v>
      </c>
      <c r="C8" s="9">
        <f>B8/'P&amp;L Model'!B8</f>
        <v>-3.0303030303030304E-2</v>
      </c>
      <c r="D8" s="8">
        <f>INDEX('P&amp;L Model'!E:E,MATCH(A8,'P&amp;L Model'!A:A, 0))-INDEX('P&amp;L Model'!D:D,MATCH(A8,'P&amp;L Model'!A:A, 0))</f>
        <v>6000</v>
      </c>
      <c r="E8" s="9">
        <f>D8/'P&amp;L Model'!D8</f>
        <v>6.6445182724252497E-2</v>
      </c>
      <c r="F8" s="8">
        <f>INDEX('P&amp;L Model'!G:G,MATCH(A8,'P&amp;L Model'!A:A,0))-INDEX('P&amp;L Model'!F:F,MATCH(A8,'P&amp;L Model'!A:A,0))</f>
        <v>-10850</v>
      </c>
      <c r="G8" t="str">
        <f t="shared" si="0"/>
        <v>U</v>
      </c>
    </row>
    <row r="9" spans="1:7" x14ac:dyDescent="0.2">
      <c r="A9" s="8" t="s">
        <v>8</v>
      </c>
      <c r="B9" s="8">
        <f>INDEX('P&amp;L Model'!C:C,MATCH(A9,'P&amp;L Model'!A:A, 0))-INDEX('P&amp;L Model'!B:B,MATCH(A9,'P&amp;L Model'!A:A,0))</f>
        <v>4850</v>
      </c>
      <c r="C9" s="9">
        <f>B9/'P&amp;L Model'!B9</f>
        <v>2.9411764705882353E-2</v>
      </c>
      <c r="D9" s="8">
        <f>INDEX('P&amp;L Model'!E:E,MATCH(A9,'P&amp;L Model'!A:A, 0))-INDEX('P&amp;L Model'!D:D,MATCH(A9,'P&amp;L Model'!A:A, 0))</f>
        <v>6800</v>
      </c>
      <c r="E9" s="9">
        <f>D9/'P&amp;L Model'!D9</f>
        <v>7.4561403508771926E-2</v>
      </c>
      <c r="F9" s="8">
        <f>INDEX('P&amp;L Model'!G:G,MATCH(A9,'P&amp;L Model'!A:A,0))-INDEX('P&amp;L Model'!F:F,MATCH(A9,'P&amp;L Model'!A:A,0))</f>
        <v>-1950</v>
      </c>
      <c r="G9" t="str">
        <f t="shared" si="0"/>
        <v>U</v>
      </c>
    </row>
    <row r="10" spans="1:7" x14ac:dyDescent="0.2">
      <c r="A10" s="8" t="s">
        <v>9</v>
      </c>
      <c r="B10" s="8">
        <f>INDEX('P&amp;L Model'!C:C,MATCH(A10,'P&amp;L Model'!A:A, 0))-INDEX('P&amp;L Model'!B:B,MATCH(A10,'P&amp;L Model'!A:A,0))</f>
        <v>-9800</v>
      </c>
      <c r="C10" s="9">
        <f>B10/'P&amp;L Model'!B10</f>
        <v>-6.25E-2</v>
      </c>
      <c r="D10" s="8">
        <f>INDEX('P&amp;L Model'!E:E,MATCH(A10,'P&amp;L Model'!A:A, 0))-INDEX('P&amp;L Model'!D:D,MATCH(A10,'P&amp;L Model'!A:A, 0))</f>
        <v>7400</v>
      </c>
      <c r="E10" s="9">
        <f>D10/'P&amp;L Model'!D10</f>
        <v>8.0347448425624315E-2</v>
      </c>
      <c r="F10" s="8">
        <f>INDEX('P&amp;L Model'!G:G,MATCH(A10,'P&amp;L Model'!A:A,0))-INDEX('P&amp;L Model'!F:F,MATCH(A10,'P&amp;L Model'!A:A,0))</f>
        <v>-17200</v>
      </c>
      <c r="G10" t="str">
        <f t="shared" si="0"/>
        <v>U</v>
      </c>
    </row>
    <row r="11" spans="1:7" x14ac:dyDescent="0.2">
      <c r="A11" s="8" t="s">
        <v>10</v>
      </c>
      <c r="B11" s="8">
        <f>INDEX('P&amp;L Model'!C:C,MATCH(A11,'P&amp;L Model'!A:A, 0))-INDEX('P&amp;L Model'!B:B,MATCH(A11,'P&amp;L Model'!A:A,0))</f>
        <v>-2940</v>
      </c>
      <c r="C11" s="9">
        <f>B11/'P&amp;L Model'!B11</f>
        <v>-1.8181818181818181E-2</v>
      </c>
      <c r="D11" s="8">
        <f>INDEX('P&amp;L Model'!E:E,MATCH(A11,'P&amp;L Model'!A:A, 0))-INDEX('P&amp;L Model'!D:D,MATCH(A11,'P&amp;L Model'!A:A, 0))</f>
        <v>10600</v>
      </c>
      <c r="E11" s="9">
        <f>D11/'P&amp;L Model'!D11</f>
        <v>0.11459459459459459</v>
      </c>
      <c r="F11" s="8">
        <f>INDEX('P&amp;L Model'!G:G,MATCH(A11,'P&amp;L Model'!A:A,0))-INDEX('P&amp;L Model'!F:F,MATCH(A11,'P&amp;L Model'!A:A,0))</f>
        <v>-13540</v>
      </c>
      <c r="G11" t="str">
        <f t="shared" si="0"/>
        <v>U</v>
      </c>
    </row>
    <row r="12" spans="1:7" x14ac:dyDescent="0.2">
      <c r="A12" s="8" t="s">
        <v>11</v>
      </c>
      <c r="B12" s="8">
        <f>INDEX('P&amp;L Model'!C:C,MATCH(A12,'P&amp;L Model'!A:A, 0))-INDEX('P&amp;L Model'!B:B,MATCH(A12,'P&amp;L Model'!A:A,0))</f>
        <v>-9900</v>
      </c>
      <c r="C12" s="9">
        <f>B12/'P&amp;L Model'!B12</f>
        <v>-5.5555555555555552E-2</v>
      </c>
      <c r="D12" s="8">
        <f>INDEX('P&amp;L Model'!E:E,MATCH(A12,'P&amp;L Model'!A:A, 0))-INDEX('P&amp;L Model'!D:D,MATCH(A12,'P&amp;L Model'!A:A, 0))</f>
        <v>11300</v>
      </c>
      <c r="E12" s="9">
        <f>D12/'P&amp;L Model'!D12</f>
        <v>0.12098501070663811</v>
      </c>
      <c r="F12" s="8">
        <f>INDEX('P&amp;L Model'!G:G,MATCH(A12,'P&amp;L Model'!A:A,0))-INDEX('P&amp;L Model'!F:F,MATCH(A12,'P&amp;L Model'!A:A,0))</f>
        <v>-21200</v>
      </c>
      <c r="G12" t="str">
        <f t="shared" si="0"/>
        <v>U</v>
      </c>
    </row>
    <row r="13" spans="1:7" x14ac:dyDescent="0.2">
      <c r="A13" s="8" t="s">
        <v>12</v>
      </c>
      <c r="B13" s="8">
        <f>INDEX('P&amp;L Model'!C:C,MATCH(A13,'P&amp;L Model'!A:A, 0))-INDEX('P&amp;L Model'!B:B,MATCH(A13,'P&amp;L Model'!A:A,0))</f>
        <v>-15000</v>
      </c>
      <c r="C13" s="9">
        <f>B13/'P&amp;L Model'!B13</f>
        <v>-7.4999999999999997E-2</v>
      </c>
      <c r="D13" s="8">
        <f>INDEX('P&amp;L Model'!E:E,MATCH(A13,'P&amp;L Model'!A:A, 0))-INDEX('P&amp;L Model'!D:D,MATCH(A13,'P&amp;L Model'!A:A, 0))</f>
        <v>12600</v>
      </c>
      <c r="E13" s="9">
        <f>D13/'P&amp;L Model'!D13</f>
        <v>0.13361611876988336</v>
      </c>
      <c r="F13" s="8">
        <f>INDEX('P&amp;L Model'!G:G,MATCH(A13,'P&amp;L Model'!A:A,0))-INDEX('P&amp;L Model'!F:F,MATCH(A13,'P&amp;L Model'!A:A,0))</f>
        <v>-27600</v>
      </c>
      <c r="G13" t="str">
        <f t="shared" si="0"/>
        <v>U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1AE7-D269-9B4F-BD90-30262D78B133}">
  <dimension ref="A1:K26"/>
  <sheetViews>
    <sheetView tabSelected="1" workbookViewId="0">
      <selection activeCell="K14" sqref="K14"/>
    </sheetView>
  </sheetViews>
  <sheetFormatPr baseColWidth="10" defaultRowHeight="16" x14ac:dyDescent="0.2"/>
  <cols>
    <col min="1" max="1" width="10.83203125" style="11"/>
    <col min="2" max="2" width="15" style="11" customWidth="1"/>
    <col min="3" max="3" width="17.1640625" style="11" customWidth="1"/>
    <col min="4" max="4" width="17.33203125" style="11" customWidth="1"/>
    <col min="5" max="5" width="14.5" style="11" customWidth="1"/>
    <col min="6" max="6" width="16.6640625" style="11" customWidth="1"/>
    <col min="7" max="7" width="16.33203125" style="11" customWidth="1"/>
    <col min="8" max="8" width="16.83203125" style="11" customWidth="1"/>
    <col min="9" max="10" width="10.83203125" style="11"/>
    <col min="11" max="11" width="16.6640625" style="11" customWidth="1"/>
    <col min="12" max="16384" width="10.83203125" style="11"/>
  </cols>
  <sheetData>
    <row r="1" spans="1:11" x14ac:dyDescent="0.2">
      <c r="F1" s="11" t="s">
        <v>83</v>
      </c>
      <c r="G1" s="11" t="s">
        <v>84</v>
      </c>
      <c r="H1" s="11" t="s">
        <v>85</v>
      </c>
    </row>
    <row r="2" spans="1:11" x14ac:dyDescent="0.2">
      <c r="F2" s="11">
        <f>INDEX(B7:B9,MATCH(B3,A7:A9,0))</f>
        <v>-0.15</v>
      </c>
      <c r="G2" s="11">
        <f>INDEX(C7:C9,MATCH(B3,A7:A9,0))</f>
        <v>-0.05</v>
      </c>
      <c r="H2" s="11">
        <f>INDEX(D7:D9,MATCH(B3,A7:A9,0))</f>
        <v>0.08</v>
      </c>
    </row>
    <row r="3" spans="1:11" x14ac:dyDescent="0.2">
      <c r="A3" s="11" t="s">
        <v>82</v>
      </c>
      <c r="B3" s="11" t="s">
        <v>50</v>
      </c>
    </row>
    <row r="5" spans="1:11" x14ac:dyDescent="0.2">
      <c r="B5" s="13" t="s">
        <v>86</v>
      </c>
    </row>
    <row r="6" spans="1:11" x14ac:dyDescent="0.2">
      <c r="A6" s="11" t="s">
        <v>82</v>
      </c>
      <c r="B6" s="11" t="s">
        <v>45</v>
      </c>
      <c r="C6" s="11" t="s">
        <v>46</v>
      </c>
      <c r="D6" s="11" t="s">
        <v>47</v>
      </c>
    </row>
    <row r="7" spans="1:11" x14ac:dyDescent="0.2">
      <c r="A7" s="11" t="s">
        <v>48</v>
      </c>
      <c r="B7" s="12">
        <v>0.1</v>
      </c>
      <c r="C7" s="12">
        <v>0.05</v>
      </c>
      <c r="D7" s="12">
        <v>0.02</v>
      </c>
    </row>
    <row r="8" spans="1:11" x14ac:dyDescent="0.2">
      <c r="A8" s="11" t="s">
        <v>49</v>
      </c>
      <c r="B8" s="11">
        <v>0</v>
      </c>
      <c r="C8" s="11">
        <v>0</v>
      </c>
      <c r="D8" s="12">
        <v>0.04</v>
      </c>
    </row>
    <row r="9" spans="1:11" x14ac:dyDescent="0.2">
      <c r="A9" s="11" t="s">
        <v>50</v>
      </c>
      <c r="B9" s="12">
        <v>-0.15</v>
      </c>
      <c r="C9" s="12">
        <v>-0.05</v>
      </c>
      <c r="D9" s="12">
        <v>0.08</v>
      </c>
    </row>
    <row r="13" spans="1:11" x14ac:dyDescent="0.2">
      <c r="A13" s="13" t="s">
        <v>0</v>
      </c>
      <c r="B13" s="13" t="s">
        <v>87</v>
      </c>
      <c r="C13" s="13" t="s">
        <v>88</v>
      </c>
      <c r="D13" s="13" t="s">
        <v>89</v>
      </c>
      <c r="E13" s="13" t="s">
        <v>90</v>
      </c>
      <c r="F13" s="13" t="s">
        <v>91</v>
      </c>
      <c r="G13" s="13" t="s">
        <v>25</v>
      </c>
      <c r="H13" s="13" t="s">
        <v>92</v>
      </c>
      <c r="I13" s="13" t="s">
        <v>71</v>
      </c>
      <c r="J13" s="13" t="s">
        <v>75</v>
      </c>
      <c r="K13" s="13" t="s">
        <v>93</v>
      </c>
    </row>
    <row r="14" spans="1:11" x14ac:dyDescent="0.2">
      <c r="A14" s="8" t="s">
        <v>1</v>
      </c>
      <c r="B14" s="14">
        <f>INDEX('P&amp;L Model'!B:B,MATCH(A14,'P&amp;L Model'!A:A,0))</f>
        <v>114000</v>
      </c>
      <c r="C14" s="14">
        <f>B14*(1+$F$2)*(1+$G$2)</f>
        <v>92055</v>
      </c>
      <c r="D14" s="14">
        <f>INDEX('P&amp;L Model'!D:D,MATCH(A14,'P&amp;L Model'!A:A,0))</f>
        <v>86000</v>
      </c>
      <c r="E14" s="14">
        <f>D14*(1+$H$2)</f>
        <v>92880</v>
      </c>
      <c r="F14" s="14">
        <f>C14-E14</f>
        <v>-825</v>
      </c>
      <c r="G14" s="14">
        <f>INDEX('P&amp;L Model'!J:J,MATCH(A14,'P&amp;L Model'!A:A,0))</f>
        <v>700</v>
      </c>
      <c r="H14" s="14">
        <f>F14-G14</f>
        <v>-1525</v>
      </c>
      <c r="I14" s="14">
        <f>Assumptions!$C$3</f>
        <v>833.33</v>
      </c>
      <c r="J14" s="14">
        <f>INDEX('Cashflow Forecast'!G:G,MATCH(A14,'Cashflow Forecast'!A:A,0))</f>
        <v>0</v>
      </c>
      <c r="K14" s="14">
        <f>H14+I14+J14</f>
        <v>-691.67</v>
      </c>
    </row>
    <row r="15" spans="1:11" x14ac:dyDescent="0.2">
      <c r="A15" s="8" t="s">
        <v>2</v>
      </c>
      <c r="B15" s="14">
        <f>INDEX('P&amp;L Model'!B:B,MATCH(A15,'P&amp;L Model'!A:A,0))</f>
        <v>118750</v>
      </c>
      <c r="C15" s="14">
        <f t="shared" ref="C15:C25" si="0">B15*(1+$F$2)*(1+$G$2)</f>
        <v>95890.625</v>
      </c>
      <c r="D15" s="14">
        <f>INDEX('P&amp;L Model'!D:D,MATCH(A15,'P&amp;L Model'!A:A,0))</f>
        <v>86350</v>
      </c>
      <c r="E15" s="14">
        <f t="shared" ref="E15:E25" si="1">D15*(1+$H$2)</f>
        <v>93258</v>
      </c>
      <c r="F15" s="14">
        <f t="shared" ref="F15:F25" si="2">C15-E15</f>
        <v>2632.625</v>
      </c>
      <c r="G15" s="14">
        <f>INDEX('P&amp;L Model'!J:J,MATCH(A15,'P&amp;L Model'!A:A,0))</f>
        <v>670.83</v>
      </c>
      <c r="H15" s="14">
        <f t="shared" ref="H15:H25" si="3">F15-G15</f>
        <v>1961.7950000000001</v>
      </c>
      <c r="I15" s="14">
        <f>Assumptions!$C$3</f>
        <v>833.33</v>
      </c>
      <c r="J15" s="14">
        <f>INDEX('Cashflow Forecast'!G:G,MATCH(A15,'Cashflow Forecast'!A:A,0))</f>
        <v>-800</v>
      </c>
      <c r="K15" s="14">
        <f t="shared" ref="K15:K25" si="4">H15+I15+J15</f>
        <v>1995.125</v>
      </c>
    </row>
    <row r="16" spans="1:11" x14ac:dyDescent="0.2">
      <c r="A16" s="8" t="s">
        <v>3</v>
      </c>
      <c r="B16" s="14">
        <f>INDEX('P&amp;L Model'!B:B,MATCH(A16,'P&amp;L Model'!A:A,0))</f>
        <v>123500</v>
      </c>
      <c r="C16" s="14">
        <f t="shared" si="0"/>
        <v>99726.25</v>
      </c>
      <c r="D16" s="14">
        <f>INDEX('P&amp;L Model'!D:D,MATCH(A16,'P&amp;L Model'!A:A,0))</f>
        <v>87200</v>
      </c>
      <c r="E16" s="14">
        <f t="shared" si="1"/>
        <v>94176</v>
      </c>
      <c r="F16" s="14">
        <f t="shared" si="2"/>
        <v>5550.25</v>
      </c>
      <c r="G16" s="14">
        <f>INDEX('P&amp;L Model'!J:J,MATCH(A16,'P&amp;L Model'!A:A,0))</f>
        <v>641.66999999999996</v>
      </c>
      <c r="H16" s="14">
        <f t="shared" si="3"/>
        <v>4908.58</v>
      </c>
      <c r="I16" s="14">
        <f>Assumptions!$C$3</f>
        <v>833.33</v>
      </c>
      <c r="J16" s="14">
        <f>INDEX('Cashflow Forecast'!G:G,MATCH(A16,'Cashflow Forecast'!A:A,0))</f>
        <v>-1200</v>
      </c>
      <c r="K16" s="14">
        <f t="shared" si="4"/>
        <v>4541.91</v>
      </c>
    </row>
    <row r="17" spans="1:11" x14ac:dyDescent="0.2">
      <c r="A17" s="8" t="s">
        <v>4</v>
      </c>
      <c r="B17" s="14">
        <f>INDEX('P&amp;L Model'!B:B,MATCH(A17,'P&amp;L Model'!A:A,0))</f>
        <v>105600</v>
      </c>
      <c r="C17" s="14">
        <f t="shared" si="0"/>
        <v>85272</v>
      </c>
      <c r="D17" s="14">
        <f>INDEX('P&amp;L Model'!D:D,MATCH(A17,'P&amp;L Model'!A:A,0))</f>
        <v>87600</v>
      </c>
      <c r="E17" s="14">
        <f t="shared" si="1"/>
        <v>94608</v>
      </c>
      <c r="F17" s="14">
        <f t="shared" si="2"/>
        <v>-9336</v>
      </c>
      <c r="G17" s="14">
        <f>INDEX('P&amp;L Model'!J:J,MATCH(A17,'P&amp;L Model'!A:A,0))</f>
        <v>612.5</v>
      </c>
      <c r="H17" s="14">
        <f t="shared" si="3"/>
        <v>-9948.5</v>
      </c>
      <c r="I17" s="14">
        <f>Assumptions!$C$3</f>
        <v>833.33</v>
      </c>
      <c r="J17" s="14">
        <f>INDEX('Cashflow Forecast'!G:G,MATCH(A17,'Cashflow Forecast'!A:A,0))</f>
        <v>1300</v>
      </c>
      <c r="K17" s="14">
        <f t="shared" si="4"/>
        <v>-7815.17</v>
      </c>
    </row>
    <row r="18" spans="1:11" x14ac:dyDescent="0.2">
      <c r="A18" s="8" t="s">
        <v>5</v>
      </c>
      <c r="B18" s="14">
        <f>INDEX('P&amp;L Model'!B:B,MATCH(A18,'P&amp;L Model'!A:A,0))</f>
        <v>134400</v>
      </c>
      <c r="C18" s="14">
        <f t="shared" si="0"/>
        <v>108528</v>
      </c>
      <c r="D18" s="14">
        <f>INDEX('P&amp;L Model'!D:D,MATCH(A18,'P&amp;L Model'!A:A,0))</f>
        <v>88500</v>
      </c>
      <c r="E18" s="14">
        <f t="shared" si="1"/>
        <v>95580</v>
      </c>
      <c r="F18" s="14">
        <f t="shared" si="2"/>
        <v>12948</v>
      </c>
      <c r="G18" s="14">
        <f>INDEX('P&amp;L Model'!J:J,MATCH(A18,'P&amp;L Model'!A:A,0))</f>
        <v>583.33000000000004</v>
      </c>
      <c r="H18" s="14">
        <f t="shared" si="3"/>
        <v>12364.67</v>
      </c>
      <c r="I18" s="14">
        <f>Assumptions!$C$3</f>
        <v>833.33</v>
      </c>
      <c r="J18" s="14">
        <f>INDEX('Cashflow Forecast'!G:G,MATCH(A18,'Cashflow Forecast'!A:A,0))</f>
        <v>-5200</v>
      </c>
      <c r="K18" s="14">
        <f t="shared" si="4"/>
        <v>7998</v>
      </c>
    </row>
    <row r="19" spans="1:11" x14ac:dyDescent="0.2">
      <c r="A19" s="8" t="s">
        <v>6</v>
      </c>
      <c r="B19" s="14">
        <f>INDEX('P&amp;L Model'!B:B,MATCH(A19,'P&amp;L Model'!A:A,0))</f>
        <v>148800</v>
      </c>
      <c r="C19" s="14">
        <f t="shared" si="0"/>
        <v>120156</v>
      </c>
      <c r="D19" s="14">
        <f>INDEX('P&amp;L Model'!D:D,MATCH(A19,'P&amp;L Model'!A:A,0))</f>
        <v>89400</v>
      </c>
      <c r="E19" s="14">
        <f t="shared" si="1"/>
        <v>96552</v>
      </c>
      <c r="F19" s="14">
        <f t="shared" si="2"/>
        <v>23604</v>
      </c>
      <c r="G19" s="14">
        <f>INDEX('P&amp;L Model'!J:J,MATCH(A19,'P&amp;L Model'!A:A,0))</f>
        <v>554.16999999999996</v>
      </c>
      <c r="H19" s="14">
        <f t="shared" si="3"/>
        <v>23049.83</v>
      </c>
      <c r="I19" s="14">
        <f>Assumptions!$C$3</f>
        <v>833.33</v>
      </c>
      <c r="J19" s="14">
        <f>INDEX('Cashflow Forecast'!G:G,MATCH(A19,'Cashflow Forecast'!A:A,0))</f>
        <v>-2400</v>
      </c>
      <c r="K19" s="14">
        <f t="shared" si="4"/>
        <v>21483.160000000003</v>
      </c>
    </row>
    <row r="20" spans="1:11" x14ac:dyDescent="0.2">
      <c r="A20" s="8" t="s">
        <v>7</v>
      </c>
      <c r="B20" s="14">
        <f>INDEX('P&amp;L Model'!B:B,MATCH(A20,'P&amp;L Model'!A:A,0))</f>
        <v>160050</v>
      </c>
      <c r="C20" s="14">
        <f t="shared" si="0"/>
        <v>129240.375</v>
      </c>
      <c r="D20" s="14">
        <f>INDEX('P&amp;L Model'!D:D,MATCH(A20,'P&amp;L Model'!A:A,0))</f>
        <v>90300</v>
      </c>
      <c r="E20" s="14">
        <f t="shared" si="1"/>
        <v>97524</v>
      </c>
      <c r="F20" s="14">
        <f t="shared" si="2"/>
        <v>31716.375</v>
      </c>
      <c r="G20" s="14">
        <f>INDEX('P&amp;L Model'!J:J,MATCH(A20,'P&amp;L Model'!A:A,0))</f>
        <v>525</v>
      </c>
      <c r="H20" s="14">
        <f t="shared" si="3"/>
        <v>31191.375</v>
      </c>
      <c r="I20" s="14">
        <f>Assumptions!$C$3</f>
        <v>833.33</v>
      </c>
      <c r="J20" s="14">
        <f>INDEX('Cashflow Forecast'!G:G,MATCH(A20,'Cashflow Forecast'!A:A,0))</f>
        <v>-400</v>
      </c>
      <c r="K20" s="14">
        <f t="shared" si="4"/>
        <v>31624.705000000002</v>
      </c>
    </row>
    <row r="21" spans="1:11" x14ac:dyDescent="0.2">
      <c r="A21" s="8" t="s">
        <v>8</v>
      </c>
      <c r="B21" s="14">
        <f>INDEX('P&amp;L Model'!B:B,MATCH(A21,'P&amp;L Model'!A:A,0))</f>
        <v>164900</v>
      </c>
      <c r="C21" s="14">
        <f t="shared" si="0"/>
        <v>133156.75</v>
      </c>
      <c r="D21" s="14">
        <f>INDEX('P&amp;L Model'!D:D,MATCH(A21,'P&amp;L Model'!A:A,0))</f>
        <v>91200</v>
      </c>
      <c r="E21" s="14">
        <f t="shared" si="1"/>
        <v>98496</v>
      </c>
      <c r="F21" s="14">
        <f t="shared" si="2"/>
        <v>34660.75</v>
      </c>
      <c r="G21" s="14">
        <f>INDEX('P&amp;L Model'!J:J,MATCH(A21,'P&amp;L Model'!A:A,0))</f>
        <v>495.83</v>
      </c>
      <c r="H21" s="14">
        <f t="shared" si="3"/>
        <v>34164.92</v>
      </c>
      <c r="I21" s="14">
        <f>Assumptions!$C$3</f>
        <v>833.33</v>
      </c>
      <c r="J21" s="14">
        <f>INDEX('Cashflow Forecast'!G:G,MATCH(A21,'Cashflow Forecast'!A:A,0))</f>
        <v>-600</v>
      </c>
      <c r="K21" s="14">
        <f t="shared" si="4"/>
        <v>34398.25</v>
      </c>
    </row>
    <row r="22" spans="1:11" x14ac:dyDescent="0.2">
      <c r="A22" s="8" t="s">
        <v>9</v>
      </c>
      <c r="B22" s="14">
        <f>INDEX('P&amp;L Model'!B:B,MATCH(A22,'P&amp;L Model'!A:A,0))</f>
        <v>156800</v>
      </c>
      <c r="C22" s="14">
        <f t="shared" si="0"/>
        <v>126616</v>
      </c>
      <c r="D22" s="14">
        <f>INDEX('P&amp;L Model'!D:D,MATCH(A22,'P&amp;L Model'!A:A,0))</f>
        <v>92100</v>
      </c>
      <c r="E22" s="14">
        <f t="shared" si="1"/>
        <v>99468</v>
      </c>
      <c r="F22" s="14">
        <f t="shared" si="2"/>
        <v>27148</v>
      </c>
      <c r="G22" s="14">
        <f>INDEX('P&amp;L Model'!J:J,MATCH(A22,'P&amp;L Model'!A:A,0))</f>
        <v>466.67</v>
      </c>
      <c r="H22" s="14">
        <f t="shared" si="3"/>
        <v>26681.33</v>
      </c>
      <c r="I22" s="14">
        <f>Assumptions!$C$3</f>
        <v>833.33</v>
      </c>
      <c r="J22" s="14">
        <f>INDEX('Cashflow Forecast'!G:G,MATCH(A22,'Cashflow Forecast'!A:A,0))</f>
        <v>-3000</v>
      </c>
      <c r="K22" s="14">
        <f t="shared" si="4"/>
        <v>24514.660000000003</v>
      </c>
    </row>
    <row r="23" spans="1:11" x14ac:dyDescent="0.2">
      <c r="A23" s="8" t="s">
        <v>10</v>
      </c>
      <c r="B23" s="14">
        <f>INDEX('P&amp;L Model'!B:B,MATCH(A23,'P&amp;L Model'!A:A,0))</f>
        <v>161700</v>
      </c>
      <c r="C23" s="14">
        <f t="shared" si="0"/>
        <v>130572.75</v>
      </c>
      <c r="D23" s="14">
        <f>INDEX('P&amp;L Model'!D:D,MATCH(A23,'P&amp;L Model'!A:A,0))</f>
        <v>92500</v>
      </c>
      <c r="E23" s="14">
        <f t="shared" si="1"/>
        <v>99900</v>
      </c>
      <c r="F23" s="14">
        <f t="shared" si="2"/>
        <v>30672.75</v>
      </c>
      <c r="G23" s="14">
        <f>INDEX('P&amp;L Model'!J:J,MATCH(A23,'P&amp;L Model'!A:A,0))</f>
        <v>437.5</v>
      </c>
      <c r="H23" s="14">
        <f t="shared" si="3"/>
        <v>30235.25</v>
      </c>
      <c r="I23" s="14">
        <f>Assumptions!$C$3</f>
        <v>833.33</v>
      </c>
      <c r="J23" s="14">
        <f>INDEX('Cashflow Forecast'!G:G,MATCH(A23,'Cashflow Forecast'!A:A,0))</f>
        <v>-1600</v>
      </c>
      <c r="K23" s="14">
        <f t="shared" si="4"/>
        <v>29468.58</v>
      </c>
    </row>
    <row r="24" spans="1:11" x14ac:dyDescent="0.2">
      <c r="A24" s="8" t="s">
        <v>11</v>
      </c>
      <c r="B24" s="14">
        <f>INDEX('P&amp;L Model'!B:B,MATCH(A24,'P&amp;L Model'!A:A,0))</f>
        <v>178200</v>
      </c>
      <c r="C24" s="14">
        <f t="shared" si="0"/>
        <v>143896.5</v>
      </c>
      <c r="D24" s="14">
        <f>INDEX('P&amp;L Model'!D:D,MATCH(A24,'P&amp;L Model'!A:A,0))</f>
        <v>93400</v>
      </c>
      <c r="E24" s="14">
        <f t="shared" si="1"/>
        <v>100872</v>
      </c>
      <c r="F24" s="14">
        <f t="shared" si="2"/>
        <v>43024.5</v>
      </c>
      <c r="G24" s="14">
        <f>INDEX('P&amp;L Model'!J:J,MATCH(A24,'P&amp;L Model'!A:A,0))</f>
        <v>408.33</v>
      </c>
      <c r="H24" s="14">
        <f t="shared" si="3"/>
        <v>42616.17</v>
      </c>
      <c r="I24" s="14">
        <f>Assumptions!$C$3</f>
        <v>833.33</v>
      </c>
      <c r="J24" s="14">
        <f>INDEX('Cashflow Forecast'!G:G,MATCH(A24,'Cashflow Forecast'!A:A,0))</f>
        <v>-6600</v>
      </c>
      <c r="K24" s="14">
        <f t="shared" si="4"/>
        <v>36849.5</v>
      </c>
    </row>
    <row r="25" spans="1:11" x14ac:dyDescent="0.2">
      <c r="A25" s="8" t="s">
        <v>12</v>
      </c>
      <c r="B25" s="14">
        <f>INDEX('P&amp;L Model'!B:B,MATCH(A25,'P&amp;L Model'!A:A,0))</f>
        <v>200000</v>
      </c>
      <c r="C25" s="14">
        <f t="shared" si="0"/>
        <v>161500</v>
      </c>
      <c r="D25" s="14">
        <f>INDEX('P&amp;L Model'!D:D,MATCH(A25,'P&amp;L Model'!A:A,0))</f>
        <v>94300</v>
      </c>
      <c r="E25" s="14">
        <f t="shared" si="1"/>
        <v>101844</v>
      </c>
      <c r="F25" s="14">
        <f t="shared" si="2"/>
        <v>59656</v>
      </c>
      <c r="G25" s="14">
        <f>INDEX('P&amp;L Model'!J:J,MATCH(A25,'P&amp;L Model'!A:A,0))</f>
        <v>379.17</v>
      </c>
      <c r="H25" s="14">
        <f t="shared" si="3"/>
        <v>59276.83</v>
      </c>
      <c r="I25" s="14">
        <f>Assumptions!$C$3</f>
        <v>833.33</v>
      </c>
      <c r="J25" s="14">
        <f>INDEX('Cashflow Forecast'!G:G,MATCH(A25,'Cashflow Forecast'!A:A,0))</f>
        <v>2500</v>
      </c>
      <c r="K25" s="14">
        <f t="shared" si="4"/>
        <v>62610.16</v>
      </c>
    </row>
    <row r="26" spans="1:11" x14ac:dyDescent="0.2">
      <c r="B26" s="14"/>
      <c r="C26" s="14"/>
      <c r="D26" s="14"/>
      <c r="E26" s="14"/>
      <c r="F26" s="14"/>
      <c r="G26" s="14"/>
      <c r="H26" s="14"/>
      <c r="I26" s="14"/>
      <c r="J26" s="14"/>
      <c r="K26" s="14"/>
    </row>
  </sheetData>
  <dataValidations count="1">
    <dataValidation type="list" allowBlank="1" showInputMessage="1" showErrorMessage="1" sqref="B2:B3" xr:uid="{ABA2B5D0-2B4C-8E40-B07D-0AD456D804F3}">
      <formula1>$A$7:$A$9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0528-8262-F646-90A5-FD0E4F9A84B7}">
  <dimension ref="A1:M13"/>
  <sheetViews>
    <sheetView workbookViewId="0">
      <selection activeCell="G23" sqref="G23"/>
    </sheetView>
  </sheetViews>
  <sheetFormatPr baseColWidth="10" defaultRowHeight="17" x14ac:dyDescent="0.2"/>
  <cols>
    <col min="1" max="1" width="10.83203125" style="5"/>
    <col min="2" max="2" width="20.6640625" style="5" customWidth="1"/>
    <col min="3" max="3" width="12.83203125" style="5" customWidth="1"/>
    <col min="4" max="4" width="13.5" style="5" customWidth="1"/>
    <col min="5" max="5" width="14" style="5" customWidth="1"/>
    <col min="6" max="6" width="15" style="5" customWidth="1"/>
    <col min="7" max="7" width="11.33203125" style="5" bestFit="1" customWidth="1"/>
    <col min="8" max="8" width="26.83203125" style="5" customWidth="1"/>
    <col min="9" max="9" width="16" style="5" customWidth="1"/>
    <col min="10" max="10" width="15.6640625" style="5" customWidth="1"/>
    <col min="11" max="11" width="18" style="5" customWidth="1"/>
    <col min="12" max="12" width="15.33203125" style="5" customWidth="1"/>
    <col min="13" max="13" width="14.5" style="5" customWidth="1"/>
    <col min="14" max="16384" width="10.83203125" style="5"/>
  </cols>
  <sheetData>
    <row r="1" spans="1:13" x14ac:dyDescent="0.2">
      <c r="A1" s="10" t="s">
        <v>0</v>
      </c>
      <c r="B1" s="10" t="s">
        <v>64</v>
      </c>
      <c r="C1" s="10" t="s">
        <v>71</v>
      </c>
      <c r="D1" s="10" t="s">
        <v>72</v>
      </c>
      <c r="E1" s="10" t="s">
        <v>73</v>
      </c>
      <c r="F1" s="10" t="s">
        <v>74</v>
      </c>
      <c r="G1" s="10" t="s">
        <v>75</v>
      </c>
      <c r="H1" s="10" t="s">
        <v>76</v>
      </c>
      <c r="I1" s="10" t="s">
        <v>77</v>
      </c>
      <c r="J1" s="10" t="s">
        <v>78</v>
      </c>
      <c r="K1" s="10" t="s">
        <v>79</v>
      </c>
      <c r="L1" s="10" t="s">
        <v>80</v>
      </c>
      <c r="M1" s="10" t="s">
        <v>81</v>
      </c>
    </row>
    <row r="2" spans="1:13" x14ac:dyDescent="0.2">
      <c r="A2" s="10" t="s">
        <v>1</v>
      </c>
      <c r="B2" s="10">
        <f>INDEX('P&amp;L Model'!K:K,MATCH(A2,'P&amp;L Model'!A:A, 0))</f>
        <v>27300</v>
      </c>
      <c r="C2" s="10">
        <f>Assumptions!$C$3</f>
        <v>833.33</v>
      </c>
      <c r="D2" s="10">
        <v>0</v>
      </c>
      <c r="E2" s="10">
        <v>0</v>
      </c>
      <c r="F2" s="10">
        <v>0</v>
      </c>
      <c r="G2" s="10">
        <f>-(D2)+(E2)-(F2)</f>
        <v>0</v>
      </c>
      <c r="H2" s="10">
        <f>B2+C2+G2</f>
        <v>28133.33</v>
      </c>
      <c r="I2" s="10">
        <f>IFERROR(INDEX(CAPEX!B:B,MATCH(A2,CAPEX!A:A,0)),0)</f>
        <v>0</v>
      </c>
      <c r="J2" s="10">
        <f>INDEX('Loan Schedule'!D:D,MATCH(A2,'Loan Schedule'!A:A,0))</f>
        <v>5000</v>
      </c>
      <c r="K2" s="10">
        <f>H2-I2-J2</f>
        <v>23133.33</v>
      </c>
      <c r="L2" s="10">
        <f>Assumptions!C2</f>
        <v>85000</v>
      </c>
      <c r="M2" s="10">
        <f>L2+K2</f>
        <v>108133.33</v>
      </c>
    </row>
    <row r="3" spans="1:13" x14ac:dyDescent="0.2">
      <c r="A3" s="10" t="s">
        <v>2</v>
      </c>
      <c r="B3" s="10">
        <f>INDEX('P&amp;L Model'!K:K,MATCH(A3,'P&amp;L Model'!A:A, 0))</f>
        <v>31729.17</v>
      </c>
      <c r="C3" s="10">
        <f>Assumptions!$C$3</f>
        <v>833.33</v>
      </c>
      <c r="D3" s="10">
        <f>'Working Capital'!B3-'Working Capital'!B2</f>
        <v>800</v>
      </c>
      <c r="E3" s="10">
        <f>'Working Capital'!C3-'Working Capital'!C2</f>
        <v>500</v>
      </c>
      <c r="F3" s="10">
        <f>'Working Capital'!D3-'Working Capital'!D2</f>
        <v>500</v>
      </c>
      <c r="G3" s="10">
        <f t="shared" ref="G3:G13" si="0">-(D3)+(E3)-(F3)</f>
        <v>-800</v>
      </c>
      <c r="H3" s="10">
        <f t="shared" ref="H3:H13" si="1">B3+C3+G3</f>
        <v>31762.5</v>
      </c>
      <c r="I3" s="10">
        <f>IFERROR(INDEX(CAPEX!B:B,MATCH(A3,CAPEX!A:A,0)),0)</f>
        <v>0</v>
      </c>
      <c r="J3" s="10">
        <f>INDEX('Loan Schedule'!D:D,MATCH(A3,'Loan Schedule'!A:A,0))</f>
        <v>5000</v>
      </c>
      <c r="K3" s="10">
        <f t="shared" ref="K3:K13" si="2">H3-I3-J3</f>
        <v>26762.5</v>
      </c>
      <c r="L3" s="10">
        <f>M2</f>
        <v>108133.33</v>
      </c>
      <c r="M3" s="10">
        <f t="shared" ref="M3:M13" si="3">L3+K3</f>
        <v>134895.83000000002</v>
      </c>
    </row>
    <row r="4" spans="1:13" x14ac:dyDescent="0.2">
      <c r="A4" s="10" t="s">
        <v>3</v>
      </c>
      <c r="B4" s="10">
        <f>INDEX('P&amp;L Model'!K:K,MATCH(A4,'P&amp;L Model'!A:A, 0))</f>
        <v>35658.33</v>
      </c>
      <c r="C4" s="10">
        <f>Assumptions!$C$3</f>
        <v>833.33</v>
      </c>
      <c r="D4" s="10">
        <f>'Working Capital'!B4-'Working Capital'!B3</f>
        <v>1200</v>
      </c>
      <c r="E4" s="10">
        <f>'Working Capital'!C4-'Working Capital'!C3</f>
        <v>500</v>
      </c>
      <c r="F4" s="10">
        <f>'Working Capital'!D4-'Working Capital'!D3</f>
        <v>500</v>
      </c>
      <c r="G4" s="10">
        <f t="shared" si="0"/>
        <v>-1200</v>
      </c>
      <c r="H4" s="10">
        <f t="shared" si="1"/>
        <v>35291.660000000003</v>
      </c>
      <c r="I4" s="10">
        <f>IFERROR(INDEX(CAPEX!B:B,MATCH(A4,CAPEX!A:A,0)),0)</f>
        <v>25000</v>
      </c>
      <c r="J4" s="10">
        <f>INDEX('Loan Schedule'!D:D,MATCH(A4,'Loan Schedule'!A:A,0))</f>
        <v>5000</v>
      </c>
      <c r="K4" s="10">
        <f t="shared" si="2"/>
        <v>5291.6600000000035</v>
      </c>
      <c r="L4" s="10">
        <f t="shared" ref="L4:L13" si="4">M3</f>
        <v>134895.83000000002</v>
      </c>
      <c r="M4" s="10">
        <f t="shared" si="3"/>
        <v>140187.49000000002</v>
      </c>
    </row>
    <row r="5" spans="1:13" x14ac:dyDescent="0.2">
      <c r="A5" s="10" t="s">
        <v>4</v>
      </c>
      <c r="B5" s="10">
        <f>INDEX('P&amp;L Model'!K:K,MATCH(A5,'P&amp;L Model'!A:A, 0))</f>
        <v>17387.5</v>
      </c>
      <c r="C5" s="10">
        <f>Assumptions!$C$3</f>
        <v>833.33</v>
      </c>
      <c r="D5" s="10">
        <f>'Working Capital'!B5-'Working Capital'!B4</f>
        <v>-800</v>
      </c>
      <c r="E5" s="10">
        <f>'Working Capital'!C5-'Working Capital'!C4</f>
        <v>1000</v>
      </c>
      <c r="F5" s="10">
        <f>'Working Capital'!D5-'Working Capital'!D4</f>
        <v>500</v>
      </c>
      <c r="G5" s="10">
        <f t="shared" si="0"/>
        <v>1300</v>
      </c>
      <c r="H5" s="10">
        <f t="shared" si="1"/>
        <v>19520.830000000002</v>
      </c>
      <c r="I5" s="10">
        <f>IFERROR(INDEX(CAPEX!B:B,MATCH(A5,CAPEX!A:A,0)),0)</f>
        <v>0</v>
      </c>
      <c r="J5" s="10">
        <f>INDEX('Loan Schedule'!D:D,MATCH(A5,'Loan Schedule'!A:A,0))</f>
        <v>5000</v>
      </c>
      <c r="K5" s="10">
        <f t="shared" si="2"/>
        <v>14520.830000000002</v>
      </c>
      <c r="L5" s="10">
        <f t="shared" si="4"/>
        <v>140187.49000000002</v>
      </c>
      <c r="M5" s="10">
        <f t="shared" si="3"/>
        <v>154708.32</v>
      </c>
    </row>
    <row r="6" spans="1:13" x14ac:dyDescent="0.2">
      <c r="A6" s="10" t="s">
        <v>5</v>
      </c>
      <c r="B6" s="10">
        <f>INDEX('P&amp;L Model'!K:K,MATCH(A6,'P&amp;L Model'!A:A, 0))</f>
        <v>45316.67</v>
      </c>
      <c r="C6" s="10">
        <f>Assumptions!$C$3</f>
        <v>833.33</v>
      </c>
      <c r="D6" s="10">
        <f>'Working Capital'!B6-'Working Capital'!B5</f>
        <v>2700</v>
      </c>
      <c r="E6" s="10">
        <f>'Working Capital'!C6-'Working Capital'!C5</f>
        <v>500</v>
      </c>
      <c r="F6" s="10">
        <f>'Working Capital'!D6-'Working Capital'!D5</f>
        <v>3000</v>
      </c>
      <c r="G6" s="10">
        <f t="shared" si="0"/>
        <v>-5200</v>
      </c>
      <c r="H6" s="10">
        <f t="shared" si="1"/>
        <v>40950</v>
      </c>
      <c r="I6" s="10">
        <f>IFERROR(INDEX(CAPEX!B:B,MATCH(A6,CAPEX!A:A,0)),0)</f>
        <v>0</v>
      </c>
      <c r="J6" s="10">
        <f>INDEX('Loan Schedule'!D:D,MATCH(A6,'Loan Schedule'!A:A,0))</f>
        <v>5000</v>
      </c>
      <c r="K6" s="10">
        <f t="shared" si="2"/>
        <v>35950</v>
      </c>
      <c r="L6" s="10">
        <f t="shared" si="4"/>
        <v>154708.32</v>
      </c>
      <c r="M6" s="10">
        <f t="shared" si="3"/>
        <v>190658.32</v>
      </c>
    </row>
    <row r="7" spans="1:13" x14ac:dyDescent="0.2">
      <c r="A7" s="10" t="s">
        <v>6</v>
      </c>
      <c r="B7" s="10">
        <f>INDEX('P&amp;L Model'!K:K,MATCH(A7,'P&amp;L Model'!A:A, 0))</f>
        <v>58845.83</v>
      </c>
      <c r="C7" s="10">
        <f>Assumptions!$C$3</f>
        <v>833.33</v>
      </c>
      <c r="D7" s="10">
        <f>'Working Capital'!B7-'Working Capital'!B6</f>
        <v>2400</v>
      </c>
      <c r="E7" s="10">
        <f>'Working Capital'!C7-'Working Capital'!C6</f>
        <v>500</v>
      </c>
      <c r="F7" s="10">
        <f>'Working Capital'!D7-'Working Capital'!D6</f>
        <v>500</v>
      </c>
      <c r="G7" s="10">
        <f t="shared" si="0"/>
        <v>-2400</v>
      </c>
      <c r="H7" s="10">
        <f t="shared" si="1"/>
        <v>57279.16</v>
      </c>
      <c r="I7" s="10">
        <f>IFERROR(INDEX(CAPEX!B:B,MATCH(A7,CAPEX!A:A,0)),0)</f>
        <v>0</v>
      </c>
      <c r="J7" s="10">
        <f>INDEX('Loan Schedule'!D:D,MATCH(A7,'Loan Schedule'!A:A,0))</f>
        <v>5000</v>
      </c>
      <c r="K7" s="10">
        <f t="shared" si="2"/>
        <v>52279.16</v>
      </c>
      <c r="L7" s="10">
        <f t="shared" si="4"/>
        <v>190658.32</v>
      </c>
      <c r="M7" s="10">
        <f t="shared" si="3"/>
        <v>242937.48</v>
      </c>
    </row>
    <row r="8" spans="1:13" x14ac:dyDescent="0.2">
      <c r="A8" s="10" t="s">
        <v>7</v>
      </c>
      <c r="B8" s="10">
        <f>INDEX('P&amp;L Model'!K:K,MATCH(A8,'P&amp;L Model'!A:A, 0))</f>
        <v>69225</v>
      </c>
      <c r="C8" s="10">
        <f>Assumptions!$C$3</f>
        <v>833.33</v>
      </c>
      <c r="D8" s="10">
        <f>'Working Capital'!B8-'Working Capital'!B7</f>
        <v>900</v>
      </c>
      <c r="E8" s="10">
        <f>'Working Capital'!C8-'Working Capital'!C7</f>
        <v>1000</v>
      </c>
      <c r="F8" s="10">
        <f>'Working Capital'!D8-'Working Capital'!D7</f>
        <v>500</v>
      </c>
      <c r="G8" s="10">
        <f t="shared" si="0"/>
        <v>-400</v>
      </c>
      <c r="H8" s="10">
        <f t="shared" si="1"/>
        <v>69658.33</v>
      </c>
      <c r="I8" s="10">
        <f>IFERROR(INDEX(CAPEX!B:B,MATCH(A8,CAPEX!A:A,0)),0)</f>
        <v>0</v>
      </c>
      <c r="J8" s="10">
        <f>INDEX('Loan Schedule'!D:D,MATCH(A8,'Loan Schedule'!A:A,0))</f>
        <v>5000</v>
      </c>
      <c r="K8" s="10">
        <f t="shared" si="2"/>
        <v>64658.33</v>
      </c>
      <c r="L8" s="10">
        <f t="shared" si="4"/>
        <v>242937.48</v>
      </c>
      <c r="M8" s="10">
        <f t="shared" si="3"/>
        <v>307595.81</v>
      </c>
    </row>
    <row r="9" spans="1:13" x14ac:dyDescent="0.2">
      <c r="A9" s="10" t="s">
        <v>8</v>
      </c>
      <c r="B9" s="10">
        <f>INDEX('P&amp;L Model'!K:K,MATCH(A9,'P&amp;L Model'!A:A, 0))</f>
        <v>73204.17</v>
      </c>
      <c r="C9" s="10">
        <f>Assumptions!$C$3</f>
        <v>833.33</v>
      </c>
      <c r="D9" s="10">
        <f>'Working Capital'!B9-'Working Capital'!B8</f>
        <v>1100</v>
      </c>
      <c r="E9" s="10">
        <f>'Working Capital'!C9-'Working Capital'!C8</f>
        <v>1000</v>
      </c>
      <c r="F9" s="10">
        <f>'Working Capital'!D9-'Working Capital'!D8</f>
        <v>500</v>
      </c>
      <c r="G9" s="10">
        <f t="shared" si="0"/>
        <v>-600</v>
      </c>
      <c r="H9" s="10">
        <f t="shared" si="1"/>
        <v>73437.5</v>
      </c>
      <c r="I9" s="10">
        <f>IFERROR(INDEX(CAPEX!B:B,MATCH(A9,CAPEX!A:A,0)),0)</f>
        <v>0</v>
      </c>
      <c r="J9" s="10">
        <f>INDEX('Loan Schedule'!D:D,MATCH(A9,'Loan Schedule'!A:A,0))</f>
        <v>5000</v>
      </c>
      <c r="K9" s="10">
        <f t="shared" si="2"/>
        <v>68437.5</v>
      </c>
      <c r="L9" s="10">
        <f t="shared" si="4"/>
        <v>307595.81</v>
      </c>
      <c r="M9" s="10">
        <f t="shared" si="3"/>
        <v>376033.31</v>
      </c>
    </row>
    <row r="10" spans="1:13" x14ac:dyDescent="0.2">
      <c r="A10" s="10" t="s">
        <v>9</v>
      </c>
      <c r="B10" s="10">
        <f>INDEX('P&amp;L Model'!K:K,MATCH(A10,'P&amp;L Model'!A:A, 0))</f>
        <v>64233.33</v>
      </c>
      <c r="C10" s="10">
        <f>Assumptions!$C$3</f>
        <v>833.33</v>
      </c>
      <c r="D10" s="10">
        <f>'Working Capital'!B10-'Working Capital'!B9</f>
        <v>1500</v>
      </c>
      <c r="E10" s="10">
        <f>'Working Capital'!C10-'Working Capital'!C9</f>
        <v>500</v>
      </c>
      <c r="F10" s="10">
        <f>'Working Capital'!D10-'Working Capital'!D9</f>
        <v>2000</v>
      </c>
      <c r="G10" s="10">
        <f t="shared" si="0"/>
        <v>-3000</v>
      </c>
      <c r="H10" s="10">
        <f t="shared" si="1"/>
        <v>62066.66</v>
      </c>
      <c r="I10" s="10">
        <f>IFERROR(INDEX(CAPEX!B:B,MATCH(A10,CAPEX!A:A,0)),0)</f>
        <v>30000</v>
      </c>
      <c r="J10" s="10">
        <f>INDEX('Loan Schedule'!D:D,MATCH(A10,'Loan Schedule'!A:A,0))</f>
        <v>5000</v>
      </c>
      <c r="K10" s="10">
        <f t="shared" si="2"/>
        <v>27066.660000000003</v>
      </c>
      <c r="L10" s="10">
        <f t="shared" si="4"/>
        <v>376033.31</v>
      </c>
      <c r="M10" s="10">
        <f t="shared" si="3"/>
        <v>403099.97</v>
      </c>
    </row>
    <row r="11" spans="1:13" x14ac:dyDescent="0.2">
      <c r="A11" s="10" t="s">
        <v>10</v>
      </c>
      <c r="B11" s="10">
        <f>INDEX('P&amp;L Model'!K:K,MATCH(A11,'P&amp;L Model'!A:A, 0))</f>
        <v>68762.5</v>
      </c>
      <c r="C11" s="10">
        <f>Assumptions!$C$3</f>
        <v>833.33</v>
      </c>
      <c r="D11" s="10">
        <f>'Working Capital'!B11-'Working Capital'!B10</f>
        <v>1100</v>
      </c>
      <c r="E11" s="10">
        <f>'Working Capital'!C11-'Working Capital'!C10</f>
        <v>500</v>
      </c>
      <c r="F11" s="10">
        <f>'Working Capital'!D11-'Working Capital'!D10</f>
        <v>1000</v>
      </c>
      <c r="G11" s="10">
        <f t="shared" si="0"/>
        <v>-1600</v>
      </c>
      <c r="H11" s="10">
        <f t="shared" si="1"/>
        <v>67995.83</v>
      </c>
      <c r="I11" s="10">
        <f>IFERROR(INDEX(CAPEX!B:B,MATCH(A11,CAPEX!A:A,0)),0)</f>
        <v>0</v>
      </c>
      <c r="J11" s="10">
        <f>INDEX('Loan Schedule'!D:D,MATCH(A11,'Loan Schedule'!A:A,0))</f>
        <v>5000</v>
      </c>
      <c r="K11" s="10">
        <f t="shared" si="2"/>
        <v>62995.83</v>
      </c>
      <c r="L11" s="10">
        <f t="shared" si="4"/>
        <v>403099.97</v>
      </c>
      <c r="M11" s="10">
        <f t="shared" si="3"/>
        <v>466095.8</v>
      </c>
    </row>
    <row r="12" spans="1:13" x14ac:dyDescent="0.2">
      <c r="A12" s="10" t="s">
        <v>11</v>
      </c>
      <c r="B12" s="10">
        <f>INDEX('P&amp;L Model'!K:K,MATCH(A12,'P&amp;L Model'!A:A, 0))</f>
        <v>84391.67</v>
      </c>
      <c r="C12" s="10">
        <f>Assumptions!$C$3</f>
        <v>833.33</v>
      </c>
      <c r="D12" s="10">
        <f>'Working Capital'!B12-'Working Capital'!B11</f>
        <v>6100</v>
      </c>
      <c r="E12" s="10">
        <f>'Working Capital'!C12-'Working Capital'!C11</f>
        <v>500</v>
      </c>
      <c r="F12" s="10">
        <f>'Working Capital'!D12-'Working Capital'!D11</f>
        <v>1000</v>
      </c>
      <c r="G12" s="10">
        <f t="shared" si="0"/>
        <v>-6600</v>
      </c>
      <c r="H12" s="10">
        <f t="shared" si="1"/>
        <v>78625</v>
      </c>
      <c r="I12" s="10">
        <f>IFERROR(INDEX(CAPEX!B:B,MATCH(A12,CAPEX!A:A,0)),0)</f>
        <v>25000</v>
      </c>
      <c r="J12" s="10">
        <f>INDEX('Loan Schedule'!D:D,MATCH(A12,'Loan Schedule'!A:A,0))</f>
        <v>5000</v>
      </c>
      <c r="K12" s="10">
        <f t="shared" si="2"/>
        <v>48625</v>
      </c>
      <c r="L12" s="10">
        <f t="shared" si="4"/>
        <v>466095.8</v>
      </c>
      <c r="M12" s="10">
        <f t="shared" si="3"/>
        <v>514720.8</v>
      </c>
    </row>
    <row r="13" spans="1:13" x14ac:dyDescent="0.2">
      <c r="A13" s="10" t="s">
        <v>12</v>
      </c>
      <c r="B13" s="10">
        <f>INDEX('P&amp;L Model'!K:K,MATCH(A13,'P&amp;L Model'!A:A, 0))</f>
        <v>105320.83</v>
      </c>
      <c r="C13" s="10">
        <f>Assumptions!$C$3</f>
        <v>833.33</v>
      </c>
      <c r="D13" s="10">
        <f>'Working Capital'!B13-'Working Capital'!B12</f>
        <v>-3000</v>
      </c>
      <c r="E13" s="10">
        <f>'Working Capital'!C13-'Working Capital'!C12</f>
        <v>500</v>
      </c>
      <c r="F13" s="10">
        <f>'Working Capital'!D13-'Working Capital'!D12</f>
        <v>1000</v>
      </c>
      <c r="G13" s="10">
        <f t="shared" si="0"/>
        <v>2500</v>
      </c>
      <c r="H13" s="10">
        <f t="shared" si="1"/>
        <v>108654.16</v>
      </c>
      <c r="I13" s="10">
        <f>IFERROR(INDEX(CAPEX!B:B,MATCH(A13,CAPEX!A:A,0)),0)</f>
        <v>0</v>
      </c>
      <c r="J13" s="10">
        <f>INDEX('Loan Schedule'!D:D,MATCH(A13,'Loan Schedule'!A:A,0))</f>
        <v>5000</v>
      </c>
      <c r="K13" s="10">
        <f t="shared" si="2"/>
        <v>103654.16</v>
      </c>
      <c r="L13" s="10">
        <f t="shared" si="4"/>
        <v>514720.8</v>
      </c>
      <c r="M13" s="10">
        <f t="shared" si="3"/>
        <v>618374.96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Revenue</vt:lpstr>
      <vt:lpstr>Budget OPEX</vt:lpstr>
      <vt:lpstr>Actual OPEX</vt:lpstr>
      <vt:lpstr>Working Capital</vt:lpstr>
      <vt:lpstr>Receivables Ageing</vt:lpstr>
      <vt:lpstr>Loan Schedule</vt:lpstr>
      <vt:lpstr>CAPEX</vt:lpstr>
      <vt:lpstr>Assumptions</vt:lpstr>
      <vt:lpstr>P&amp;L Model</vt:lpstr>
      <vt:lpstr>Variance</vt:lpstr>
      <vt:lpstr>Scenario</vt:lpstr>
      <vt:lpstr>Cashflow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Olugbode</dc:creator>
  <cp:lastModifiedBy>Microsoft Office User</cp:lastModifiedBy>
  <dcterms:created xsi:type="dcterms:W3CDTF">2025-12-07T13:09:48Z</dcterms:created>
  <dcterms:modified xsi:type="dcterms:W3CDTF">2026-01-22T06:13:39Z</dcterms:modified>
</cp:coreProperties>
</file>